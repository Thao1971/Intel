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6ec2da4c49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a8fee555cb4c4435"/>
    <x:sheet xmlns:r="http://schemas.openxmlformats.org/officeDocument/2006/relationships" name="Sectores" sheetId="2" r:id="Rb3bd9d46aaba4d74"/>
    <x:sheet xmlns:r="http://schemas.openxmlformats.org/officeDocument/2006/relationships" name="Metodología" sheetId="3" r:id="R2cba30199c844dbe"/>
    <x:sheet xmlns:r="http://schemas.openxmlformats.org/officeDocument/2006/relationships" name="Fuentes" sheetId="4" r:id="Rb530a6c43d7c46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x"/>
    <x:numFmt numFmtId="202" formatCode="0.0%"/>
  </x:numFmts>
  <x:fonts count="8">
    <x:font>
      <x:sz val="11"/>
      <x:name val="Carlito"/>
    </x:font>
    <x:font>
      <x:sz val="10"/>
      <x:name val="Arial"/>
    </x:font>
    <x:font>
      <x:b/>
      <x:sz val="18"/>
      <x:color rgb="FFFFFFFF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  <x:font>
      <x:b/>
      <x:sz val="11"/>
      <x:color rgb="FFFFFFFF"/>
      <x:name val="Arial"/>
    </x:font>
    <x:font>
      <x:sz val="10"/>
      <x:color rgb="FF0563C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201" fontId="1" fillId="0" borderId="1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6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/>
    <x:xf numFmtId="201" fontId="0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e2cdde0c304a06" /><Relationship Type="http://schemas.openxmlformats.org/officeDocument/2006/relationships/theme" Target="/xl/theme/theme1.xml" Id="R52ea96e9ae34429d" /><Relationship Type="http://schemas.openxmlformats.org/officeDocument/2006/relationships/sharedStrings" Target="/xl/sharedStrings.xml" Id="Rf9f433ef49484490" /><Relationship Type="http://schemas.openxmlformats.org/officeDocument/2006/relationships/worksheet" Target="/xl/worksheets/sheet1.xml" Id="Ra8fee555cb4c4435" /><Relationship Type="http://schemas.openxmlformats.org/officeDocument/2006/relationships/worksheet" Target="/xl/worksheets/sheet2.xml" Id="Rb3bd9d46aaba4d74" /><Relationship Type="http://schemas.openxmlformats.org/officeDocument/2006/relationships/worksheet" Target="/xl/worksheets/sheet3.xml" Id="R2cba30199c844dbe" /><Relationship Type="http://schemas.openxmlformats.org/officeDocument/2006/relationships/worksheet" Target="/xl/worksheets/sheet4.xml" Id="Rb530a6c43d7c4610" /></Relationships>
</file>

<file path=xl/tables/table1.xml><?xml version="1.0" encoding="utf-8"?>
<x:table xmlns:x="http://schemas.openxmlformats.org/spreadsheetml/2006/main" id="1" name="ResumenArroba" displayName="ResumenArroba" ref="A10:G20" headerRowCount="1" totalsRowCount="0" totalsRowShown="0">
  <x:tableColumns count="7">
    <x:tableColumn id="1" name="Grupo Arroba"/>
    <x:tableColumn id="2" name="Industrias"/>
    <x:tableColumn id="3" name="Empresas"/>
    <x:tableColumn id="4" name="PER trailing"/>
    <x:tableColumn id="5" name="VE/EBITDA"/>
    <x:tableColumn id="6" name="VE/ventas"/>
    <x:tableColumn id="7" name="P/V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ctoresMultiples" displayName="SectoresMultiples" ref="A1:P95" headerRowCount="1" totalsRowCount="0" totalsRowShown="0">
  <x:tableColumns count="16">
    <x:tableColumn id="1" name="Industria Damodaran"/>
    <x:tableColumn id="2" name="Grupo Arroba"/>
    <x:tableColumn id="3" name="Método principal"/>
    <x:tableColumn id="4" name="Empresas"/>
    <x:tableColumn id="5" name="% con pérdidas"/>
    <x:tableColumn id="6" name="PER actual"/>
    <x:tableColumn id="7" name="PER trailing"/>
    <x:tableColumn id="8" name="PER forward"/>
    <x:tableColumn id="9" name="P/VC"/>
    <x:tableColumn id="10" name="ROE"/>
    <x:tableColumn id="11" name="P/ventas"/>
    <x:tableColumn id="12" name="VE/ventas"/>
    <x:tableColumn id="13" name="Margen operativo"/>
    <x:tableColumn id="14" name="VE/EBITDA positivo"/>
    <x:tableColumn id="15" name="VE/EBITDA todas"/>
    <x:tableColumn id="16" name="VE/EB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517b5ddc8441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e050d187f4487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15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2" customHeight="1">
      <x:c r="A1" s="4" t="str">
        <x:v>Múltiplos ampliados — Europa</x:v>
      </x:c>
      <x:c r="B1" s="4" t="str">
        <x:v>Múltiplos ampliados — Europa</x:v>
      </x:c>
      <x:c r="C1" s="4" t="str">
        <x:v>Múltiplos ampliados — Europa</x:v>
      </x:c>
      <x:c r="D1" s="4" t="str">
        <x:v>Múltiplos ampliados — Europa</x:v>
      </x:c>
      <x:c r="E1" s="4" t="str">
        <x:v>Múltiplos ampliados — Europa</x:v>
      </x:c>
      <x:c r="F1" s="4" t="str">
        <x:v>Múltiplos ampliados — Europa</x:v>
      </x:c>
      <x:c r="G1" s="4" t="str">
        <x:v>Múltiplos ampliados — Europa</x:v>
      </x:c>
      <x:c r="H1" s="4" t="str">
        <x:v>Múltiplos ampliados — Europa</x:v>
      </x:c>
      <x:c r="I1" s="1"/>
      <x:c r="J1" s="1"/>
      <x:c r="K1" s="1"/>
      <x:c r="L1" s="1"/>
      <x:c r="M1" s="1"/>
      <x:c r="N1" s="1"/>
    </x:row>
    <x:row r="2">
      <x:c r="A2" s="5" t="str">
        <x:v>2025 (TTM disponible al inicio de 2026). Fecha de extracción: 2026-01-05.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8" t="str">
        <x:v>Indicador</x:v>
      </x:c>
      <x:c r="B4" s="8" t="str">
        <x:v>Valor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9" t="str">
        <x:v>Empresas del universo</x:v>
      </x:c>
      <x:c r="B5" s="10" t="n">
        <x:f>SUM(Sectores!D2:D95)</x:f>
        <x:v>6560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9" t="str">
        <x:v>Industrias</x:v>
      </x:c>
      <x:c r="B6" s="10" t="n">
        <x:f>COUNTA(Sectores!A2:A95)</x:f>
        <x:v>94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9" t="str">
        <x:v>Fuente</x:v>
      </x:c>
      <x:c r="B7" s="9" t="str">
        <x:v>Damodaran / NYU Stern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12" t="str">
        <x:v>Grupo Arroba</x:v>
      </x:c>
      <x:c r="B10" s="12" t="str">
        <x:v>Industrias</x:v>
      </x:c>
      <x:c r="C10" s="12" t="str">
        <x:v>Empresas</x:v>
      </x:c>
      <x:c r="D10" s="12" t="str">
        <x:v>PER trailing</x:v>
      </x:c>
      <x:c r="E10" s="12" t="str">
        <x:v>VE/EBITDA</x:v>
      </x:c>
      <x:c r="F10" s="12" t="str">
        <x:v>VE/ventas</x:v>
      </x:c>
      <x:c r="G10" s="12" t="str">
        <x:v>P/VC</x:v>
      </x:c>
      <x:c r="H10" s="1"/>
      <x:c r="I10" s="1"/>
      <x:c r="J10" s="1"/>
      <x:c r="K10" s="1"/>
      <x:c r="L10" s="1"/>
      <x:c r="M10" s="1"/>
      <x:c r="N10" s="1"/>
    </x:row>
    <x:row r="11">
      <x:c r="A11" s="9" t="str">
        <x:v>Construcción e ingeniería</x:v>
      </x:c>
      <x:c r="B11" s="10" t="n">
        <x:v>2</x:v>
      </x:c>
      <x:c r="C11" s="10" t="n">
        <x:v>279</x:v>
      </x:c>
      <x:c r="D11" s="13" t="n">
        <x:v>33.769834075434645</x:v>
      </x:c>
      <x:c r="E11" s="13" t="n">
        <x:v>10.36236776621497</x:v>
      </x:c>
      <x:c r="F11" s="13" t="n">
        <x:v>1.1826256587388875</x:v>
      </x:c>
      <x:c r="G11" s="13" t="n">
        <x:v>2.2430585696568652</x:v>
      </x:c>
      <x:c r="H11" s="1"/>
      <x:c r="I11" s="1"/>
      <x:c r="J11" s="1"/>
      <x:c r="K11" s="1"/>
      <x:c r="L11" s="1"/>
      <x:c r="M11" s="1"/>
      <x:c r="N11" s="1"/>
    </x:row>
    <x:row r="12">
      <x:c r="A12" s="9" t="str">
        <x:v>Consumo</x:v>
      </x:c>
      <x:c r="B12" s="10" t="n">
        <x:v>9</x:v>
      </x:c>
      <x:c r="C12" s="10" t="n">
        <x:v>574</x:v>
      </x:c>
      <x:c r="D12" s="13" t="n">
        <x:v>25.9211301637075</x:v>
      </x:c>
      <x:c r="E12" s="13" t="n">
        <x:v>12.3553956773024</x:v>
      </x:c>
      <x:c r="F12" s="13" t="n">
        <x:v>1.49072622207596</x:v>
      </x:c>
      <x:c r="G12" s="13" t="n">
        <x:v>2.26124642371612</x:v>
      </x:c>
      <x:c r="H12" s="1"/>
      <x:c r="I12" s="1"/>
      <x:c r="J12" s="1"/>
      <x:c r="K12" s="1"/>
      <x:c r="L12" s="1"/>
      <x:c r="M12" s="1"/>
      <x:c r="N12" s="1"/>
    </x:row>
    <x:row r="13">
      <x:c r="A13" s="9" t="str">
        <x:v>Energía</x:v>
      </x:c>
      <x:c r="B13" s="10" t="n">
        <x:v>9</x:v>
      </x:c>
      <x:c r="C13" s="10" t="n">
        <x:v>357</x:v>
      </x:c>
      <x:c r="D13" s="13" t="n">
        <x:v>21.2619550008123</x:v>
      </x:c>
      <x:c r="E13" s="13" t="n">
        <x:v>7.57794667987031</x:v>
      </x:c>
      <x:c r="F13" s="13" t="n">
        <x:v>1.91683698220319</x:v>
      </x:c>
      <x:c r="G13" s="13" t="n">
        <x:v>1.4709961206558</x:v>
      </x:c>
      <x:c r="H13" s="1"/>
      <x:c r="I13" s="1"/>
      <x:c r="J13" s="1"/>
      <x:c r="K13" s="1"/>
      <x:c r="L13" s="1"/>
      <x:c r="M13" s="1"/>
      <x:c r="N13" s="1"/>
    </x:row>
    <x:row r="14">
      <x:c r="A14" s="9" t="str">
        <x:v>Financiero</x:v>
      </x:c>
      <x:c r="B14" s="10" t="n">
        <x:v>8</x:v>
      </x:c>
      <x:c r="C14" s="10" t="n">
        <x:v>469</x:v>
      </x:c>
      <x:c r="D14" s="13" t="n">
        <x:v>16.8069774841392</x:v>
      </x:c>
      <x:c r="E14" s="13" t="n">
        <x:v>9.60371015387597</x:v>
      </x:c>
      <x:c r="F14" s="13" t="n">
        <x:v>1.898893293618785</x:v>
      </x:c>
      <x:c r="G14" s="13" t="n">
        <x:v>1.83209512136685</x:v>
      </x:c>
      <x:c r="H14" s="1"/>
      <x:c r="I14" s="1"/>
      <x:c r="J14" s="1"/>
      <x:c r="K14" s="1"/>
      <x:c r="L14" s="1"/>
      <x:c r="M14" s="1"/>
      <x:c r="N14" s="1"/>
    </x:row>
    <x:row r="15">
      <x:c r="A15" s="9" t="str">
        <x:v>Inmobiliario</x:v>
      </x:c>
      <x:c r="B15" s="10" t="n">
        <x:v>4</x:v>
      </x:c>
      <x:c r="C15" s="10" t="n">
        <x:v>353</x:v>
      </x:c>
      <x:c r="D15" s="13" t="n">
        <x:v>40.64845180637655</x:v>
      </x:c>
      <x:c r="E15" s="13" t="n">
        <x:v>19.85242307785195</x:v>
      </x:c>
      <x:c r="F15" s="13" t="n">
        <x:v>9.09885512521056</x:v>
      </x:c>
      <x:c r="G15" s="13" t="n">
        <x:v>0.8719086957137405</x:v>
      </x:c>
      <x:c r="H15" s="1"/>
      <x:c r="I15" s="1"/>
      <x:c r="J15" s="1"/>
      <x:c r="K15" s="1"/>
      <x:c r="L15" s="1"/>
      <x:c r="M15" s="1"/>
      <x:c r="N15" s="1"/>
    </x:row>
    <x:row r="16">
      <x:c r="A16" s="9" t="str">
        <x:v>Medios y publicidad</x:v>
      </x:c>
      <x:c r="B16" s="10" t="n">
        <x:v>5</x:v>
      </x:c>
      <x:c r="C16" s="10" t="n">
        <x:v>410</x:v>
      </x:c>
      <x:c r="D16" s="13" t="n">
        <x:v>126.962185782171</x:v>
      </x:c>
      <x:c r="E16" s="13" t="n">
        <x:v>8.41167836985636</x:v>
      </x:c>
      <x:c r="F16" s="13" t="n">
        <x:v>1.26796448769362</x:v>
      </x:c>
      <x:c r="G16" s="13" t="n">
        <x:v>1.80344468230049</x:v>
      </x:c>
      <x:c r="H16" s="1"/>
      <x:c r="I16" s="1"/>
      <x:c r="J16" s="1"/>
      <x:c r="K16" s="1"/>
      <x:c r="L16" s="1"/>
      <x:c r="M16" s="1"/>
      <x:c r="N16" s="1"/>
    </x:row>
    <x:row r="17">
      <x:c r="A17" s="9" t="str">
        <x:v>Otros</x:v>
      </x:c>
      <x:c r="B17" s="10" t="n">
        <x:v>44</x:v>
      </x:c>
      <x:c r="C17" s="10" t="n">
        <x:v>2803</x:v>
      </x:c>
      <x:c r="D17" s="13" t="n">
        <x:v>35.6967186708256</x:v>
      </x:c>
      <x:c r="E17" s="13" t="n">
        <x:v>10.920003547237851</x:v>
      </x:c>
      <x:c r="F17" s="13" t="n">
        <x:v>1.7406081025752</x:v>
      </x:c>
      <x:c r="G17" s="13" t="n">
        <x:v>1.78003725061336</x:v>
      </x:c>
      <x:c r="H17" s="1"/>
      <x:c r="I17" s="1"/>
      <x:c r="J17" s="1"/>
      <x:c r="K17" s="1"/>
      <x:c r="L17" s="1"/>
      <x:c r="M17" s="1"/>
      <x:c r="N17" s="1"/>
    </x:row>
    <x:row r="18">
      <x:c r="A18" s="9" t="str">
        <x:v>Salud</x:v>
      </x:c>
      <x:c r="B18" s="10" t="n">
        <x:v>5</x:v>
      </x:c>
      <x:c r="C18" s="10" t="n">
        <x:v>553</x:v>
      </x:c>
      <x:c r="D18" s="13" t="n">
        <x:v>215.447002099191</x:v>
      </x:c>
      <x:c r="E18" s="13" t="n">
        <x:v>12.5901458725978</x:v>
      </x:c>
      <x:c r="F18" s="13" t="n">
        <x:v>3.45462485995376</x:v>
      </x:c>
      <x:c r="G18" s="13" t="n">
        <x:v>2.83862212262504</x:v>
      </x:c>
      <x:c r="H18" s="1"/>
      <x:c r="I18" s="1"/>
      <x:c r="J18" s="1"/>
      <x:c r="K18" s="1"/>
      <x:c r="L18" s="1"/>
      <x:c r="M18" s="1"/>
      <x:c r="N18" s="1"/>
    </x:row>
    <x:row r="19">
      <x:c r="A19" s="9" t="str">
        <x:v>Software y datos</x:v>
      </x:c>
      <x:c r="B19" s="10" t="n">
        <x:v>4</x:v>
      </x:c>
      <x:c r="C19" s="10" t="n">
        <x:v>529</x:v>
      </x:c>
      <x:c r="D19" s="13" t="n">
        <x:v>91.7761357754529</x:v>
      </x:c>
      <x:c r="E19" s="13" t="n">
        <x:v>10.682021214894846</x:v>
      </x:c>
      <x:c r="F19" s="13" t="n">
        <x:v>1.83316537611263</x:v>
      </x:c>
      <x:c r="G19" s="13" t="n">
        <x:v>4.38542245429215</x:v>
      </x:c>
      <x:c r="H19" s="1"/>
      <x:c r="I19" s="1"/>
      <x:c r="J19" s="1"/>
      <x:c r="K19" s="1"/>
      <x:c r="L19" s="1"/>
      <x:c r="M19" s="1"/>
      <x:c r="N19" s="1"/>
    </x:row>
    <x:row r="20">
      <x:c r="A20" s="9" t="str">
        <x:v>Turismo y ocio</x:v>
      </x:c>
      <x:c r="B20" s="10" t="n">
        <x:v>4</x:v>
      </x:c>
      <x:c r="C20" s="10" t="n">
        <x:v>233</x:v>
      </x:c>
      <x:c r="D20" s="13" t="n">
        <x:v>59.168868207615304</x:v>
      </x:c>
      <x:c r="E20" s="13" t="n">
        <x:v>11.53397468334675</x:v>
      </x:c>
      <x:c r="F20" s="13" t="n">
        <x:v>1.68115336689679</x:v>
      </x:c>
      <x:c r="G20" s="13" t="n">
        <x:v>3.3171006807757353</x:v>
      </x:c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7" t="str">
        <x:v>Uso recomendado: seleccionar primero el grupo sectorial y después contrastar la industria concreta. Para empresas privadas, aplicar ajustes de tamaño, liquidez, concentración, recurrencia y dependencia de personas clave. Los múltiplos no sustituyen el análisis DCF ni el puente de deuda neta.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</x:sheetData>
  <x:mergeCells>
    <x:mergeCell ref="A1:H1"/>
    <x:mergeCell ref="A2:H2"/>
    <x:mergeCell ref="A22:H25"/>
  </x:mergeCells>
  <x:pageMargins left="0.7" right="0.7" top="0.75" bottom="0.75" header="0.3" footer="0.3"/>
  <x:tableParts count="1">
    <x:tablePart xmlns:r="http://schemas.openxmlformats.org/officeDocument/2006/relationships" r:id="Ra2517b5ddc8441d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29" hidden="0" customWidth="1"/>
    <x:col min="2" max="2" width="23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4" customHeight="1">
      <x:c r="A1" s="29" t="str">
        <x:v>Industria Damodaran</x:v>
      </x:c>
      <x:c r="B1" s="29" t="str">
        <x:v>Grupo Arroba</x:v>
      </x:c>
      <x:c r="C1" s="29" t="str">
        <x:v>Método principal</x:v>
      </x:c>
      <x:c r="D1" s="29" t="str">
        <x:v>Empresas</x:v>
      </x:c>
      <x:c r="E1" s="29" t="str">
        <x:v>% con pérdidas</x:v>
      </x:c>
      <x:c r="F1" s="29" t="str">
        <x:v>PER actual</x:v>
      </x:c>
      <x:c r="G1" s="29" t="str">
        <x:v>PER trailing</x:v>
      </x:c>
      <x:c r="H1" s="29" t="str">
        <x:v>PER forward</x:v>
      </x:c>
      <x:c r="I1" s="29" t="str">
        <x:v>P/VC</x:v>
      </x:c>
      <x:c r="J1" s="29" t="str">
        <x:v>ROE</x:v>
      </x:c>
      <x:c r="K1" s="29" t="str">
        <x:v>P/ventas</x:v>
      </x:c>
      <x:c r="L1" s="29" t="str">
        <x:v>VE/ventas</x:v>
      </x:c>
      <x:c r="M1" s="29" t="str">
        <x:v>Margen operativo</x:v>
      </x:c>
      <x:c r="N1" s="29" t="str">
        <x:v>VE/EBITDA positivo</x:v>
      </x:c>
      <x:c r="O1" s="30" t="str">
        <x:v>VE/EBITDA todas</x:v>
      </x:c>
      <x:c r="P1" s="30" t="str">
        <x:v>VE/EBIT</x:v>
      </x:c>
    </x:row>
    <x:row r="2">
      <x:c r="A2" s="9" t="str">
        <x:v>Advertising</x:v>
      </x:c>
      <x:c r="B2" s="9" t="str">
        <x:v>Medios y publicidad</x:v>
      </x:c>
      <x:c r="C2" s="9" t="str">
        <x:v>VE/EBITDA y VE/ventas</x:v>
      </x:c>
      <x:c r="D2" s="10" t="n">
        <x:v>83</x:v>
      </x:c>
      <x:c r="E2" s="31" t="n">
        <x:v>0.445783132530121</x:v>
      </x:c>
      <x:c r="F2" s="13" t="n">
        <x:v>66.8410711949984</x:v>
      </x:c>
      <x:c r="G2" s="13" t="n">
        <x:v>22.1443382304878</x:v>
      </x:c>
      <x:c r="H2" s="13" t="n">
        <x:v>16.1965821839313</x:v>
      </x:c>
      <x:c r="I2" s="13" t="n">
        <x:v>1.80344468230049</x:v>
      </x:c>
      <x:c r="J2" s="31" t="n">
        <x:v>0.0917740322141609</x:v>
      </x:c>
      <x:c r="K2" s="13" t="n">
        <x:v>0.915414950083828</x:v>
      </x:c>
      <x:c r="L2" s="13" t="n">
        <x:v>1.26796448769362</x:v>
      </x:c>
      <x:c r="M2" s="31" t="n">
        <x:v>0.113331658395641</x:v>
      </x:c>
      <x:c r="N2" s="13" t="n">
        <x:v>8.41167836985636</x:v>
      </x:c>
      <x:c r="O2" s="32" t="n">
        <x:v>9.66722237242217</x:v>
      </x:c>
      <x:c r="P2" s="32" t="n">
        <x:v>11.1391970191409</x:v>
      </x:c>
    </x:row>
    <x:row r="3">
      <x:c r="A3" s="9" t="str">
        <x:v>Aerospace/Defense</x:v>
      </x:c>
      <x:c r="B3" s="9" t="str">
        <x:v>Otros</x:v>
      </x:c>
      <x:c r="C3" s="9" t="str">
        <x:v>VE/EBITDA</x:v>
      </x:c>
      <x:c r="D3" s="10" t="n">
        <x:v>67</x:v>
      </x:c>
      <x:c r="E3" s="31" t="n">
        <x:v>0.298507462686567</x:v>
      </x:c>
      <x:c r="F3" s="13" t="n">
        <x:v>156.485998463425</x:v>
      </x:c>
      <x:c r="G3" s="13" t="n">
        <x:v>87.148202139686</x:v>
      </x:c>
      <x:c r="H3" s="13" t="n">
        <x:v>36.8403004367669</x:v>
      </x:c>
      <x:c r="I3" s="13" t="n">
        <x:v>7.04090809509526</x:v>
      </x:c>
      <x:c r="J3" s="31" t="n">
        <x:v>0.300992088018127</x:v>
      </x:c>
      <x:c r="K3" s="13" t="n">
        <x:v>2.85387156941102</x:v>
      </x:c>
      <x:c r="L3" s="13" t="n">
        <x:v>2.94632756344265</x:v>
      </x:c>
      <x:c r="M3" s="31" t="n">
        <x:v>0.104176628616266</x:v>
      </x:c>
      <x:c r="N3" s="13" t="n">
        <x:v>21.624511949362</x:v>
      </x:c>
      <x:c r="O3" s="32" t="n">
        <x:v>27.2589293910748</x:v>
      </x:c>
      <x:c r="P3" s="32" t="n">
        <x:v>28.2437735380613</x:v>
      </x:c>
    </x:row>
    <x:row r="4">
      <x:c r="A4" s="9" t="str">
        <x:v>Air Transport</x:v>
      </x:c>
      <x:c r="B4" s="9" t="str">
        <x:v>Turismo y ocio</x:v>
      </x:c>
      <x:c r="C4" s="9" t="str">
        <x:v>VE/EBITDA</x:v>
      </x:c>
      <x:c r="D4" s="10" t="n">
        <x:v>33</x:v>
      </x:c>
      <x:c r="E4" s="31" t="n">
        <x:v>0.151515151515152</x:v>
      </x:c>
      <x:c r="F4" s="13" t="n">
        <x:v>18.8941447629097</x:v>
      </x:c>
      <x:c r="G4" s="13" t="n">
        <x:v>21.8774948443309</x:v>
      </x:c>
      <x:c r="H4" s="13" t="n">
        <x:v>12.7416110555275</x:v>
      </x:c>
      <x:c r="I4" s="13" t="n">
        <x:v>2.0058951180508</x:v>
      </x:c>
      <x:c r="J4" s="31" t="n">
        <x:v>0.25151059384158</x:v>
      </x:c>
      <x:c r="K4" s="13" t="n">
        <x:v>0.80795508401129</x:v>
      </x:c>
      <x:c r="L4" s="13" t="n">
        <x:v>1.23160759294705</x:v>
      </x:c>
      <x:c r="M4" s="31" t="n">
        <x:v>0.105090841986014</x:v>
      </x:c>
      <x:c r="N4" s="13" t="n">
        <x:v>7.64850807082941</x:v>
      </x:c>
      <x:c r="O4" s="32" t="n">
        <x:v>9.24324349224751</x:v>
      </x:c>
      <x:c r="P4" s="32" t="n">
        <x:v>11.6785699599715</x:v>
      </x:c>
    </x:row>
    <x:row r="5">
      <x:c r="A5" s="9" t="str">
        <x:v>Apparel</x:v>
      </x:c>
      <x:c r="B5" s="9" t="str">
        <x:v>Otros</x:v>
      </x:c>
      <x:c r="C5" s="9" t="str">
        <x:v>VE/EBITDA</x:v>
      </x:c>
      <x:c r="D5" s="10" t="n">
        <x:v>109</x:v>
      </x:c>
      <x:c r="E5" s="31" t="n">
        <x:v>0.440366972477064</x:v>
      </x:c>
      <x:c r="F5" s="13" t="n">
        <x:v>40.5915732024578</x:v>
      </x:c>
      <x:c r="G5" s="13" t="n">
        <x:v>38.7944485736359</x:v>
      </x:c>
      <x:c r="H5" s="13" t="n">
        <x:v>23.2184815279056</x:v>
      </x:c>
      <x:c r="I5" s="13" t="n">
        <x:v>4.0536253793372</x:v>
      </x:c>
      <x:c r="J5" s="31" t="n">
        <x:v>0.171463732590196</x:v>
      </x:c>
      <x:c r="K5" s="13" t="n">
        <x:v>3.06966139849328</x:v>
      </x:c>
      <x:c r="L5" s="13" t="n">
        <x:v>3.40892246554267</x:v>
      </x:c>
      <x:c r="M5" s="31" t="n">
        <x:v>0.188061835697936</x:v>
      </x:c>
      <x:c r="N5" s="13" t="n">
        <x:v>15.2262758649157</x:v>
      </x:c>
      <x:c r="O5" s="32" t="n">
        <x:v>16.5177707295807</x:v>
      </x:c>
      <x:c r="P5" s="32" t="n">
        <x:v>18.0629423454934</x:v>
      </x:c>
    </x:row>
    <x:row r="6">
      <x:c r="A6" s="9" t="str">
        <x:v>Auto &amp; Truck</x:v>
      </x:c>
      <x:c r="B6" s="9" t="str">
        <x:v>Otros</x:v>
      </x:c>
      <x:c r="C6" s="9" t="str">
        <x:v>VE/EBITDA</x:v>
      </x:c>
      <x:c r="D6" s="10" t="n">
        <x:v>31</x:v>
      </x:c>
      <x:c r="E6" s="31" t="n">
        <x:v>0.580645161290323</x:v>
      </x:c>
      <x:c r="F6" s="13" t="n">
        <x:v>22.4985848454829</x:v>
      </x:c>
      <x:c r="G6" s="13" t="n">
        <x:v>24.4540739105537</x:v>
      </x:c>
      <x:c r="H6" s="13" t="n">
        <x:v>11.632550695215</x:v>
      </x:c>
      <x:c r="I6" s="13" t="n">
        <x:v>0.75345882019403</x:v>
      </x:c>
      <x:c r="J6" s="31" t="n">
        <x:v>0.00358963496562292</x:v>
      </x:c>
      <x:c r="K6" s="13" t="n">
        <x:v>0.425223765532534</x:v>
      </x:c>
      <x:c r="L6" s="13" t="n">
        <x:v>0.886607168148628</x:v>
      </x:c>
      <x:c r="M6" s="31" t="n">
        <x:v>0.0391055958345931</x:v>
      </x:c>
      <x:c r="N6" s="13" t="n">
        <x:v>11.570079259626</x:v>
      </x:c>
      <x:c r="O6" s="32" t="n">
        <x:v>9.43178257428168</x:v>
      </x:c>
      <x:c r="P6" s="32" t="n">
        <x:v>22.4271036447774</x:v>
      </x:c>
    </x:row>
    <x:row r="7">
      <x:c r="A7" s="9" t="str">
        <x:v>Auto Parts</x:v>
      </x:c>
      <x:c r="B7" s="9" t="str">
        <x:v>Otros</x:v>
      </x:c>
      <x:c r="C7" s="9" t="str">
        <x:v>VE/EBITDA</x:v>
      </x:c>
      <x:c r="D7" s="10" t="n">
        <x:v>58</x:v>
      </x:c>
      <x:c r="E7" s="31" t="n">
        <x:v>0.448275862068966</x:v>
      </x:c>
      <x:c r="F7" s="13" t="n">
        <x:v>19.8214272697292</x:v>
      </x:c>
      <x:c r="G7" s="13" t="n">
        <x:v>34.4474486426642</x:v>
      </x:c>
      <x:c r="H7" s="13" t="n">
        <x:v>15.2488151422897</x:v>
      </x:c>
      <x:c r="I7" s="13" t="n">
        <x:v>1.23520175963297</x:v>
      </x:c>
      <x:c r="J7" s="31" t="n">
        <x:v>0.00774634147053904</x:v>
      </x:c>
      <x:c r="K7" s="13" t="n">
        <x:v>0.357933990509661</x:v>
      </x:c>
      <x:c r="L7" s="13" t="n">
        <x:v>0.546860430168646</x:v>
      </x:c>
      <x:c r="M7" s="31" t="n">
        <x:v>0.0486514975195569</x:v>
      </x:c>
      <x:c r="N7" s="13" t="n">
        <x:v>5.81064534416382</x:v>
      </x:c>
      <x:c r="O7" s="32" t="n">
        <x:v>6.6215568598744</x:v>
      </x:c>
      <x:c r="P7" s="32" t="n">
        <x:v>11.1639797311227</x:v>
      </x:c>
    </x:row>
    <x:row r="8">
      <x:c r="A8" s="9" t="str">
        <x:v>Bank (Money Center)</x:v>
      </x:c>
      <x:c r="B8" s="9" t="str">
        <x:v>Financiero</x:v>
      </x:c>
      <x:c r="C8" s="9" t="str">
        <x:v>P/VC y PER</x:v>
      </x:c>
      <x:c r="D8" s="10" t="n">
        <x:v>113</x:v>
      </x:c>
      <x:c r="E8" s="31" t="n">
        <x:v>0.0530973451327433</x:v>
      </x:c>
      <x:c r="F8" s="13" t="n">
        <x:v>16.1501367950581</x:v>
      </x:c>
      <x:c r="G8" s="13" t="n">
        <x:v>11.3950585570227</x:v>
      </x:c>
      <x:c r="H8" s="13" t="n">
        <x:v>10.3513100663541</x:v>
      </x:c>
      <x:c r="I8" s="13" t="n">
        <x:v>1.24491922587347</x:v>
      </x:c>
      <x:c r="J8" s="31" t="n">
        <x:v>0.129991364635859</x:v>
      </x:c>
      <x:c r="K8" s="13" t="n">
        <x:v>3.41231966990288</x:v>
      </x:c>
      <x:c r="L8" s="13" t="n">
        <x:v>9.60239049373532</x:v>
      </x:c>
      <x:c r="M8" s="31" t="n">
        <x:v>0.00000797056880984131</x:v>
      </x:c>
      <x:c r="N8" s="13" t="str">
        <x:v>NA</x:v>
      </x:c>
      <x:c r="O8" s="32" t="str">
        <x:v>NA</x:v>
      </x:c>
      <x:c r="P8" s="32" t="str">
        <x:v>NA</x:v>
      </x:c>
    </x:row>
    <x:row r="9">
      <x:c r="A9" s="9" t="str">
        <x:v>Banks (Regional)</x:v>
      </x:c>
      <x:c r="B9" s="9" t="str">
        <x:v>Financiero</x:v>
      </x:c>
      <x:c r="C9" s="9" t="str">
        <x:v>P/VC y PER</x:v>
      </x:c>
      <x:c r="D9" s="10" t="n">
        <x:v>69</x:v>
      </x:c>
      <x:c r="E9" s="31" t="n">
        <x:v>0</x:v>
      </x:c>
      <x:c r="F9" s="13" t="n">
        <x:v>11.9305167821046</x:v>
      </x:c>
      <x:c r="G9" s="13" t="n">
        <x:v>10.3985966422679</x:v>
      </x:c>
      <x:c r="H9" s="13" t="n">
        <x:v>13.4067931341982</x:v>
      </x:c>
      <x:c r="I9" s="13" t="n">
        <x:v>0.748153282932218</x:v>
      </x:c>
      <x:c r="J9" s="31" t="n">
        <x:v>0.0726729382558023</x:v>
      </x:c>
      <x:c r="K9" s="13" t="n">
        <x:v>4.30708794683817</x:v>
      </x:c>
      <x:c r="L9" s="13" t="n">
        <x:v>11.6022421327462</x:v>
      </x:c>
      <x:c r="M9" s="31" t="n">
        <x:v>0.0000309563174695623</x:v>
      </x:c>
      <x:c r="N9" s="13" t="str">
        <x:v>NA</x:v>
      </x:c>
      <x:c r="O9" s="32" t="str">
        <x:v>NA</x:v>
      </x:c>
      <x:c r="P9" s="32" t="str">
        <x:v>NA</x:v>
      </x:c>
    </x:row>
    <x:row r="10">
      <x:c r="A10" s="9" t="str">
        <x:v>Beverage (Alcoholic)</x:v>
      </x:c>
      <x:c r="B10" s="9" t="str">
        <x:v>Consumo</x:v>
      </x:c>
      <x:c r="C10" s="9" t="str">
        <x:v>VE/EBITDA y VE/ventas</x:v>
      </x:c>
      <x:c r="D10" s="10" t="n">
        <x:v>52</x:v>
      </x:c>
      <x:c r="E10" s="31" t="n">
        <x:v>0.326923076923077</x:v>
      </x:c>
      <x:c r="F10" s="13" t="n">
        <x:v>29.6756870824816</x:v>
      </x:c>
      <x:c r="G10" s="13" t="n">
        <x:v>20.0350137938763</x:v>
      </x:c>
      <x:c r="H10" s="13" t="n">
        <x:v>44.83937589684</x:v>
      </x:c>
      <x:c r="I10" s="13" t="n">
        <x:v>1.56135567382846</x:v>
      </x:c>
      <x:c r="J10" s="31" t="n">
        <x:v>0.104116643944751</x:v>
      </x:c>
      <x:c r="K10" s="13" t="n">
        <x:v>1.55956116099995</x:v>
      </x:c>
      <x:c r="L10" s="13" t="n">
        <x:v>2.4198996837273</x:v>
      </x:c>
      <x:c r="M10" s="31" t="n">
        <x:v>0.196446852375296</x:v>
      </x:c>
      <x:c r="N10" s="13" t="n">
        <x:v>9.74890954818827</x:v>
      </x:c>
      <x:c r="O10" s="32" t="n">
        <x:v>10.1034272624409</x:v>
      </x:c>
      <x:c r="P10" s="32" t="n">
        <x:v>12.3124514599064</x:v>
      </x:c>
    </x:row>
    <x:row r="11">
      <x:c r="A11" s="9" t="str">
        <x:v>Beverage (Soft)</x:v>
      </x:c>
      <x:c r="B11" s="9" t="str">
        <x:v>Consumo</x:v>
      </x:c>
      <x:c r="C11" s="9" t="str">
        <x:v>VE/EBITDA y VE/ventas</x:v>
      </x:c>
      <x:c r="D11" s="10" t="n">
        <x:v>14</x:v>
      </x:c>
      <x:c r="E11" s="31" t="n">
        <x:v>0.142857142857143</x:v>
      </x:c>
      <x:c r="F11" s="13" t="n">
        <x:v>23.3153238726708</x:v>
      </x:c>
      <x:c r="G11" s="13" t="n">
        <x:v>16.9029927948365</x:v>
      </x:c>
      <x:c r="H11" s="13" t="n">
        <x:v>16.4049610863124</x:v>
      </x:c>
      <x:c r="I11" s="13" t="n">
        <x:v>3.85665458282433</x:v>
      </x:c>
      <x:c r="J11" s="31" t="n">
        <x:v>0.218796506327971</x:v>
      </x:c>
      <x:c r="K11" s="13" t="n">
        <x:v>1.5622247086925</x:v>
      </x:c>
      <x:c r="L11" s="13" t="n">
        <x:v>1.92891442256323</x:v>
      </x:c>
      <x:c r="M11" s="31" t="n">
        <x:v>0.123919486371295</x:v>
      </x:c>
      <x:c r="N11" s="13" t="n">
        <x:v>12.3836016679783</x:v>
      </x:c>
      <x:c r="O11" s="32" t="n">
        <x:v>14.1818862214302</x:v>
      </x:c>
      <x:c r="P11" s="32" t="n">
        <x:v>15.5656800285373</x:v>
      </x:c>
    </x:row>
    <x:row r="12">
      <x:c r="A12" s="9" t="str">
        <x:v>Broadcasting</x:v>
      </x:c>
      <x:c r="B12" s="9" t="str">
        <x:v>Medios y publicidad</x:v>
      </x:c>
      <x:c r="C12" s="9" t="str">
        <x:v>VE/EBITDA y VE/ventas</x:v>
      </x:c>
      <x:c r="D12" s="10" t="n">
        <x:v>18</x:v>
      </x:c>
      <x:c r="E12" s="31" t="n">
        <x:v>0.277777777777778</x:v>
      </x:c>
      <x:c r="F12" s="13" t="n">
        <x:v>18.417990002484</x:v>
      </x:c>
      <x:c r="G12" s="13" t="n">
        <x:v>14.831886880757</x:v>
      </x:c>
      <x:c r="H12" s="13" t="n">
        <x:v>11.1710524868262</x:v>
      </x:c>
      <x:c r="I12" s="13" t="n">
        <x:v>0.978405633420831</x:v>
      </x:c>
      <x:c r="J12" s="31" t="n">
        <x:v>0.0631397109838213</x:v>
      </x:c>
      <x:c r="K12" s="13" t="n">
        <x:v>0.704115578828207</x:v>
      </x:c>
      <x:c r="L12" s="13" t="n">
        <x:v>0.845571473989007</x:v>
      </x:c>
      <x:c r="M12" s="31" t="n">
        <x:v>0.0825957766652249</x:v>
      </x:c>
      <x:c r="N12" s="13" t="n">
        <x:v>7.50881174111009</x:v>
      </x:c>
      <x:c r="O12" s="32" t="n">
        <x:v>7.3547043421215</x:v>
      </x:c>
      <x:c r="P12" s="32" t="n">
        <x:v>10.2374311174406</x:v>
      </x:c>
    </x:row>
    <x:row r="13">
      <x:c r="A13" s="9" t="str">
        <x:v>Brokerage &amp; Investment Banking</x:v>
      </x:c>
      <x:c r="B13" s="9" t="str">
        <x:v>Financiero</x:v>
      </x:c>
      <x:c r="C13" s="9" t="str">
        <x:v>P/VC y PER</x:v>
      </x:c>
      <x:c r="D13" s="10" t="n">
        <x:v>69</x:v>
      </x:c>
      <x:c r="E13" s="31" t="n">
        <x:v>0.347826086956522</x:v>
      </x:c>
      <x:c r="F13" s="13" t="n">
        <x:v>47.7140867160512</x:v>
      </x:c>
      <x:c r="G13" s="13" t="n">
        <x:v>22.2178649149774</x:v>
      </x:c>
      <x:c r="H13" s="13" t="n">
        <x:v>14.1254645930473</x:v>
      </x:c>
      <x:c r="I13" s="13" t="n">
        <x:v>3.1114562095197</x:v>
      </x:c>
      <x:c r="J13" s="31" t="n">
        <x:v>0.283056244210881</x:v>
      </x:c>
      <x:c r="K13" s="13" t="n">
        <x:v>0.9722188281293</x:v>
      </x:c>
      <x:c r="L13" s="13" t="n">
        <x:v>1.38180858720994</x:v>
      </x:c>
      <x:c r="M13" s="31" t="n">
        <x:v>0.0073961692317782</x:v>
      </x:c>
      <x:c r="N13" s="13" t="n">
        <x:v>26.6189570232746</x:v>
      </x:c>
      <x:c r="O13" s="32" t="n">
        <x:v>186.351531782314</x:v>
      </x:c>
      <x:c r="P13" s="32" t="n">
        <x:v>28.0568129336437</x:v>
      </x:c>
    </x:row>
    <x:row r="14">
      <x:c r="A14" s="9" t="str">
        <x:v>Building Materials</x:v>
      </x:c>
      <x:c r="B14" s="9" t="str">
        <x:v>Otros</x:v>
      </x:c>
      <x:c r="C14" s="9" t="str">
        <x:v>VE/EBITDA</x:v>
      </x:c>
      <x:c r="D14" s="10" t="n">
        <x:v>84</x:v>
      </x:c>
      <x:c r="E14" s="31" t="n">
        <x:v>0.321428571428571</x:v>
      </x:c>
      <x:c r="F14" s="13" t="n">
        <x:v>55.2012874283741</x:v>
      </x:c>
      <x:c r="G14" s="13" t="n">
        <x:v>97.3676396715322</x:v>
      </x:c>
      <x:c r="H14" s="13" t="n">
        <x:v>19.5825515949103</x:v>
      </x:c>
      <x:c r="I14" s="13" t="n">
        <x:v>3.83507437537286</x:v>
      </x:c>
      <x:c r="J14" s="31" t="n">
        <x:v>0.168152751004553</x:v>
      </x:c>
      <x:c r="K14" s="13" t="n">
        <x:v>2.04418110883945</x:v>
      </x:c>
      <x:c r="L14" s="13" t="n">
        <x:v>2.33148935975618</x:v>
      </x:c>
      <x:c r="M14" s="31" t="n">
        <x:v>0.124367010569715</x:v>
      </x:c>
      <x:c r="N14" s="13" t="n">
        <x:v>14.3363361284818</x:v>
      </x:c>
      <x:c r="O14" s="32" t="n">
        <x:v>16.5306446252736</x:v>
      </x:c>
      <x:c r="P14" s="32" t="n">
        <x:v>18.6322301913554</x:v>
      </x:c>
    </x:row>
    <x:row r="15">
      <x:c r="A15" s="9" t="str">
        <x:v>Business &amp; Consumer Services</x:v>
      </x:c>
      <x:c r="B15" s="9" t="str">
        <x:v>Otros</x:v>
      </x:c>
      <x:c r="C15" s="9" t="str">
        <x:v>VE/EBITDA</x:v>
      </x:c>
      <x:c r="D15" s="10" t="n">
        <x:v>176</x:v>
      </x:c>
      <x:c r="E15" s="31" t="n">
        <x:v>0.375</x:v>
      </x:c>
      <x:c r="F15" s="13" t="n">
        <x:v>29.3187989497589</x:v>
      </x:c>
      <x:c r="G15" s="13" t="n">
        <x:v>25.0818388808585</x:v>
      </x:c>
      <x:c r="H15" s="13" t="n">
        <x:v>16.3525251871285</x:v>
      </x:c>
      <x:c r="I15" s="13" t="n">
        <x:v>4.14432727575302</x:v>
      </x:c>
      <x:c r="J15" s="31" t="n">
        <x:v>0.171082820029756</x:v>
      </x:c>
      <x:c r="K15" s="13" t="n">
        <x:v>1.20563104622495</x:v>
      </x:c>
      <x:c r="L15" s="13" t="n">
        <x:v>1.51224853244654</x:v>
      </x:c>
      <x:c r="M15" s="31" t="n">
        <x:v>0.086309048196704</x:v>
      </x:c>
      <x:c r="N15" s="13" t="n">
        <x:v>12.8136973575187</x:v>
      </x:c>
      <x:c r="O15" s="32" t="n">
        <x:v>14.6326187208517</x:v>
      </x:c>
      <x:c r="P15" s="32" t="n">
        <x:v>17.4537784284938</x:v>
      </x:c>
    </x:row>
    <x:row r="16">
      <x:c r="A16" s="9" t="str">
        <x:v>Cable TV</x:v>
      </x:c>
      <x:c r="B16" s="9" t="str">
        <x:v>Otros</x:v>
      </x:c>
      <x:c r="C16" s="9" t="str">
        <x:v>VE/EBITDA</x:v>
      </x:c>
      <x:c r="D16" s="10" t="n">
        <x:v>2</x:v>
      </x:c>
      <x:c r="E16" s="31" t="n">
        <x:v>1</x:v>
      </x:c>
      <x:c r="F16" s="13" t="str">
        <x:v>NA</x:v>
      </x:c>
      <x:c r="G16" s="13" t="str">
        <x:v>NA</x:v>
      </x:c>
      <x:c r="H16" s="13" t="str">
        <x:v>NA</x:v>
      </x:c>
      <x:c r="I16" s="13" t="n">
        <x:v>0.432210644389999</x:v>
      </x:c>
      <x:c r="J16" s="31" t="n">
        <x:v>-0.381127277864105</x:v>
      </x:c>
      <x:c r="K16" s="13" t="n">
        <x:v>0.736778543752831</x:v>
      </x:c>
      <x:c r="L16" s="13" t="n">
        <x:v>3.2011334431965</x:v>
      </x:c>
      <x:c r="M16" s="31" t="n">
        <x:v>-0.127123483285302</x:v>
      </x:c>
      <x:c r="N16" s="13" t="n">
        <x:v>8.47819349858653</x:v>
      </x:c>
      <x:c r="O16" s="32" t="n">
        <x:v>8.56436792092677</x:v>
      </x:c>
      <x:c r="P16" s="32" t="str">
        <x:v>NA</x:v>
      </x:c>
    </x:row>
    <x:row r="17">
      <x:c r="A17" s="9" t="str">
        <x:v>Chemical (Basic)</x:v>
      </x:c>
      <x:c r="B17" s="9" t="str">
        <x:v>Otros</x:v>
      </x:c>
      <x:c r="C17" s="9" t="str">
        <x:v>VE/EBITDA</x:v>
      </x:c>
      <x:c r="D17" s="10" t="n">
        <x:v>58</x:v>
      </x:c>
      <x:c r="E17" s="31" t="n">
        <x:v>0.551724137931035</x:v>
      </x:c>
      <x:c r="F17" s="13" t="n">
        <x:v>35.7529174336056</x:v>
      </x:c>
      <x:c r="G17" s="13" t="n">
        <x:v>82.9073210386863</x:v>
      </x:c>
      <x:c r="H17" s="13" t="n">
        <x:v>14.5401305735199</x:v>
      </x:c>
      <x:c r="I17" s="13" t="n">
        <x:v>0.974408898535727</x:v>
      </x:c>
      <x:c r="J17" s="31" t="n">
        <x:v>-0.0378856882749326</x:v>
      </x:c>
      <x:c r="K17" s="13" t="n">
        <x:v>0.902406178158625</x:v>
      </x:c>
      <x:c r="L17" s="13" t="n">
        <x:v>1.50271274117165</x:v>
      </x:c>
      <x:c r="M17" s="31" t="n">
        <x:v>0.0286051094843528</x:v>
      </x:c>
      <x:c r="N17" s="13" t="n">
        <x:v>10.7138783420323</x:v>
      </x:c>
      <x:c r="O17" s="32" t="n">
        <x:v>15.9968893557643</x:v>
      </x:c>
      <x:c r="P17" s="32" t="n">
        <x:v>41.7327332264891</x:v>
      </x:c>
    </x:row>
    <x:row r="18">
      <x:c r="A18" s="9" t="str">
        <x:v>Chemical (Diversified)</x:v>
      </x:c>
      <x:c r="B18" s="9" t="str">
        <x:v>Otros</x:v>
      </x:c>
      <x:c r="C18" s="9" t="str">
        <x:v>VE/EBITDA</x:v>
      </x:c>
      <x:c r="D18" s="10" t="n">
        <x:v>7</x:v>
      </x:c>
      <x:c r="E18" s="31" t="n">
        <x:v>0.428571428571429</x:v>
      </x:c>
      <x:c r="F18" s="13" t="n">
        <x:v>25.8146296721007</x:v>
      </x:c>
      <x:c r="G18" s="13" t="n">
        <x:v>45.1135392117267</x:v>
      </x:c>
      <x:c r="H18" s="13" t="n">
        <x:v>12.742484519041</x:v>
      </x:c>
      <x:c r="I18" s="13" t="n">
        <x:v>1.13379437381758</x:v>
      </x:c>
      <x:c r="J18" s="31" t="n">
        <x:v>0.00823372121611105</x:v>
      </x:c>
      <x:c r="K18" s="13" t="n">
        <x:v>0.596630533768689</x:v>
      </x:c>
      <x:c r="L18" s="13" t="n">
        <x:v>0.933127973624388</x:v>
      </x:c>
      <x:c r="M18" s="31" t="n">
        <x:v>0.0444568493730322</x:v>
      </x:c>
      <x:c r="N18" s="13" t="n">
        <x:v>9.34035537259515</x:v>
      </x:c>
      <x:c r="O18" s="32" t="n">
        <x:v>10.2827392553853</x:v>
      </x:c>
      <x:c r="P18" s="32" t="n">
        <x:v>20.9878687340867</x:v>
      </x:c>
    </x:row>
    <x:row r="19">
      <x:c r="A19" s="9" t="str">
        <x:v>Chemical (Specialty)</x:v>
      </x:c>
      <x:c r="B19" s="9" t="str">
        <x:v>Otros</x:v>
      </x:c>
      <x:c r="C19" s="9" t="str">
        <x:v>VE/EBITDA</x:v>
      </x:c>
      <x:c r="D19" s="10" t="n">
        <x:v>92</x:v>
      </x:c>
      <x:c r="E19" s="31" t="n">
        <x:v>0.543478260869565</x:v>
      </x:c>
      <x:c r="F19" s="13" t="n">
        <x:v>46.2637708578785</x:v>
      </x:c>
      <x:c r="G19" s="13" t="n">
        <x:v>31.603449298323</x:v>
      </x:c>
      <x:c r="H19" s="13" t="n">
        <x:v>16.6402619510711</x:v>
      </x:c>
      <x:c r="I19" s="13" t="n">
        <x:v>2.58196763138228</x:v>
      </x:c>
      <x:c r="J19" s="31" t="n">
        <x:v>0.101787355518131</x:v>
      </x:c>
      <x:c r="K19" s="13" t="n">
        <x:v>2.00702749242245</x:v>
      </x:c>
      <x:c r="L19" s="13" t="n">
        <x:v>2.34159121787954</x:v>
      </x:c>
      <x:c r="M19" s="31" t="n">
        <x:v>0.108536402758719</x:v>
      </x:c>
      <x:c r="N19" s="13" t="n">
        <x:v>12.763824392777</x:v>
      </x:c>
      <x:c r="O19" s="32" t="n">
        <x:v>15.0904141677648</x:v>
      </x:c>
      <x:c r="P19" s="32" t="n">
        <x:v>21.5369099462924</x:v>
      </x:c>
    </x:row>
    <x:row r="20">
      <x:c r="A20" s="9" t="str">
        <x:v>Coal &amp; Related Energy</x:v>
      </x:c>
      <x:c r="B20" s="9" t="str">
        <x:v>Energía</x:v>
      </x:c>
      <x:c r="C20" s="9" t="str">
        <x:v>VE/EBITDA</x:v>
      </x:c>
      <x:c r="D20" s="10" t="n">
        <x:v>15</x:v>
      </x:c>
      <x:c r="E20" s="31" t="n">
        <x:v>0.733333333333333</x:v>
      </x:c>
      <x:c r="F20" s="13" t="n">
        <x:v>44.9311853104816</x:v>
      </x:c>
      <x:c r="G20" s="13" t="n">
        <x:v>21.2619550008123</x:v>
      </x:c>
      <x:c r="H20" s="13" t="n">
        <x:v>4.37759009009009</x:v>
      </x:c>
      <x:c r="I20" s="13" t="n">
        <x:v>0.846710721201787</x:v>
      </x:c>
      <x:c r="J20" s="31" t="n">
        <x:v>-0.0806883173654876</x:v>
      </x:c>
      <x:c r="K20" s="13" t="n">
        <x:v>2.06268413127789</x:v>
      </x:c>
      <x:c r="L20" s="13" t="n">
        <x:v>2.00863530743192</x:v>
      </x:c>
      <x:c r="M20" s="31" t="n">
        <x:v>0.0356474678853229</x:v>
      </x:c>
      <x:c r="N20" s="13" t="n">
        <x:v>2.49183074978557</x:v>
      </x:c>
      <x:c r="O20" s="32" t="n">
        <x:v>11.0444913449565</x:v>
      </x:c>
      <x:c r="P20" s="32" t="n">
        <x:v>13.7792502325286</x:v>
      </x:c>
    </x:row>
    <x:row r="21">
      <x:c r="A21" s="9" t="str">
        <x:v>Computer Services</x:v>
      </x:c>
      <x:c r="B21" s="9" t="str">
        <x:v>Software y datos</x:v>
      </x:c>
      <x:c r="C21" s="9" t="str">
        <x:v>VE/ventas y VE/EBITDA</x:v>
      </x:c>
      <x:c r="D21" s="10" t="n">
        <x:v>210</x:v>
      </x:c>
      <x:c r="E21" s="31" t="n">
        <x:v>0.366666666666667</x:v>
      </x:c>
      <x:c r="F21" s="13" t="n">
        <x:v>41.1389877704816</x:v>
      </x:c>
      <x:c r="G21" s="13" t="n">
        <x:v>58.0975440852238</x:v>
      </x:c>
      <x:c r="H21" s="13" t="n">
        <x:v>24.3161055658109</x:v>
      </x:c>
      <x:c r="I21" s="13" t="n">
        <x:v>3.62542161815765</x:v>
      </x:c>
      <x:c r="J21" s="31" t="n">
        <x:v>0.207449177248283</x:v>
      </x:c>
      <x:c r="K21" s="13" t="n">
        <x:v>1.20117884333387</x:v>
      </x:c>
      <x:c r="L21" s="13" t="n">
        <x:v>1.28896373410786</x:v>
      </x:c>
      <x:c r="M21" s="31" t="n">
        <x:v>0.0853078855699743</x:v>
      </x:c>
      <x:c r="N21" s="13" t="n">
        <x:v>12.0275676224697</x:v>
      </x:c>
      <x:c r="O21" s="32" t="n">
        <x:v>13.4059246392416</x:v>
      </x:c>
      <x:c r="P21" s="32" t="n">
        <x:v>14.9371050207917</x:v>
      </x:c>
    </x:row>
    <x:row r="22">
      <x:c r="A22" s="9" t="str">
        <x:v>Computers/Peripherals</x:v>
      </x:c>
      <x:c r="B22" s="9" t="str">
        <x:v>Otros</x:v>
      </x:c>
      <x:c r="C22" s="9" t="str">
        <x:v>VE/EBITDA</x:v>
      </x:c>
      <x:c r="D22" s="10" t="n">
        <x:v>38</x:v>
      </x:c>
      <x:c r="E22" s="31" t="n">
        <x:v>0.5</x:v>
      </x:c>
      <x:c r="F22" s="13" t="n">
        <x:v>48.5057844870168</x:v>
      </x:c>
      <x:c r="G22" s="13" t="n">
        <x:v>43.2106838390347</x:v>
      </x:c>
      <x:c r="H22" s="13" t="n">
        <x:v>21.6794169490203</x:v>
      </x:c>
      <x:c r="I22" s="13" t="n">
        <x:v>2.84359798665388</x:v>
      </x:c>
      <x:c r="J22" s="31" t="n">
        <x:v>0.0885934776447004</x:v>
      </x:c>
      <x:c r="K22" s="13" t="n">
        <x:v>2.43929899787577</x:v>
      </x:c>
      <x:c r="L22" s="13" t="n">
        <x:v>2.35141748236004</x:v>
      </x:c>
      <x:c r="M22" s="31" t="n">
        <x:v>0.104028024626733</x:v>
      </x:c>
      <x:c r="N22" s="13" t="n">
        <x:v>14.444990686308</x:v>
      </x:c>
      <x:c r="O22" s="32" t="n">
        <x:v>18.4090582798471</x:v>
      </x:c>
      <x:c r="P22" s="32" t="n">
        <x:v>19.9084199184207</x:v>
      </x:c>
    </x:row>
    <x:row r="23">
      <x:c r="A23" s="9" t="str">
        <x:v>Construction Supplies</x:v>
      </x:c>
      <x:c r="B23" s="9" t="str">
        <x:v>Construcción e ingeniería</x:v>
      </x:c>
      <x:c r="C23" s="9" t="str">
        <x:v>VE/EBITDA</x:v>
      </x:c>
      <x:c r="D23" s="10" t="n">
        <x:v>119</x:v>
      </x:c>
      <x:c r="E23" s="31" t="n">
        <x:v>0.285714285714286</x:v>
      </x:c>
      <x:c r="F23" s="13" t="n">
        <x:v>42.0564993399658</x:v>
      </x:c>
      <x:c r="G23" s="13" t="n">
        <x:v>33.2127604232644</x:v>
      </x:c>
      <x:c r="H23" s="13" t="n">
        <x:v>18.724188382142</x:v>
      </x:c>
      <x:c r="I23" s="13" t="n">
        <x:v>2.16489969222588</x:v>
      </x:c>
      <x:c r="J23" s="31" t="n">
        <x:v>0.191668333411509</x:v>
      </x:c>
      <x:c r="K23" s="13" t="n">
        <x:v>1.17214292514336</x:v>
      </x:c>
      <x:c r="L23" s="13" t="n">
        <x:v>1.51385452273059</x:v>
      </x:c>
      <x:c r="M23" s="31" t="n">
        <x:v>0.0951640044731434</x:v>
      </x:c>
      <x:c r="N23" s="13" t="n">
        <x:v>11.0133886167901</x:v>
      </x:c>
      <x:c r="O23" s="32" t="n">
        <x:v>11.5651662756492</x:v>
      </x:c>
      <x:c r="P23" s="32" t="n">
        <x:v>15.8373227270863</x:v>
      </x:c>
    </x:row>
    <x:row r="24">
      <x:c r="A24" s="9" t="str">
        <x:v>Diversified</x:v>
      </x:c>
      <x:c r="B24" s="9" t="str">
        <x:v>Otros</x:v>
      </x:c>
      <x:c r="C24" s="9" t="str">
        <x:v>VE/EBITDA</x:v>
      </x:c>
      <x:c r="D24" s="10" t="n">
        <x:v>72</x:v>
      </x:c>
      <x:c r="E24" s="31" t="n">
        <x:v>0.291666666666667</x:v>
      </x:c>
      <x:c r="F24" s="13" t="n">
        <x:v>65.6472499155258</x:v>
      </x:c>
      <x:c r="G24" s="13" t="n">
        <x:v>38.8862876186827</x:v>
      </x:c>
      <x:c r="H24" s="13" t="n">
        <x:v>22.4666985303236</x:v>
      </x:c>
      <x:c r="I24" s="13" t="n">
        <x:v>1.31430402105404</x:v>
      </x:c>
      <x:c r="J24" s="31" t="n">
        <x:v>0.0723046930719322</x:v>
      </x:c>
      <x:c r="K24" s="13" t="n">
        <x:v>1.82026832059961</x:v>
      </x:c>
      <x:c r="L24" s="13" t="n">
        <x:v>2.26160477162257</x:v>
      </x:c>
      <x:c r="M24" s="31" t="n">
        <x:v>0.108502752109817</x:v>
      </x:c>
      <x:c r="N24" s="13" t="n">
        <x:v>14.4736173082985</x:v>
      </x:c>
      <x:c r="O24" s="32" t="n">
        <x:v>10.9907570273715</x:v>
      </x:c>
      <x:c r="P24" s="32" t="n">
        <x:v>19.1367258715489</x:v>
      </x:c>
    </x:row>
    <x:row r="25">
      <x:c r="A25" s="9" t="str">
        <x:v>Drugs (Biotechnology)</x:v>
      </x:c>
      <x:c r="B25" s="9" t="str">
        <x:v>Salud</x:v>
      </x:c>
      <x:c r="C25" s="9" t="str">
        <x:v>VE/ventas y VE/EBITDA</x:v>
      </x:c>
      <x:c r="D25" s="10" t="n">
        <x:v>199</x:v>
      </x:c>
      <x:c r="E25" s="31" t="n">
        <x:v>0.814070351758794</x:v>
      </x:c>
      <x:c r="F25" s="13" t="n">
        <x:v>55.1530548510029</x:v>
      </x:c>
      <x:c r="G25" s="13" t="n">
        <x:v>364.081965851387</x:v>
      </x:c>
      <x:c r="H25" s="13" t="n">
        <x:v>48.9520747332738</x:v>
      </x:c>
      <x:c r="I25" s="13" t="n">
        <x:v>3.83386793837551</x:v>
      </x:c>
      <x:c r="J25" s="31" t="n">
        <x:v>0.00445809274196725</x:v>
      </x:c>
      <x:c r="K25" s="13" t="n">
        <x:v>6.09496232852681</x:v>
      </x:c>
      <x:c r="L25" s="13" t="n">
        <x:v>6.47267938114227</x:v>
      </x:c>
      <x:c r="M25" s="31" t="n">
        <x:v>0.0564879464051812</x:v>
      </x:c>
      <x:c r="N25" s="13" t="n">
        <x:v>16.1693504517317</x:v>
      </x:c>
      <x:c r="O25" s="32" t="str">
        <x:v>NA</x:v>
      </x:c>
      <x:c r="P25" s="32" t="n">
        <x:v>78.4538508920698</x:v>
      </x:c>
    </x:row>
    <x:row r="26">
      <x:c r="A26" s="9" t="str">
        <x:v>Drugs (Pharmaceutical)</x:v>
      </x:c>
      <x:c r="B26" s="9" t="str">
        <x:v>Salud</x:v>
      </x:c>
      <x:c r="C26" s="9" t="str">
        <x:v>VE/ventas y VE/EBITDA</x:v>
      </x:c>
      <x:c r="D26" s="10" t="n">
        <x:v>115</x:v>
      </x:c>
      <x:c r="E26" s="31" t="n">
        <x:v>0.608695652173913</x:v>
      </x:c>
      <x:c r="F26" s="13" t="n">
        <x:v>63.5838399752058</x:v>
      </x:c>
      <x:c r="G26" s="13" t="n">
        <x:v>55.2084311382482</x:v>
      </x:c>
      <x:c r="H26" s="13" t="n">
        <x:v>35.2130189118829</x:v>
      </x:c>
      <x:c r="I26" s="13" t="n">
        <x:v>4.09200815292215</x:v>
      </x:c>
      <x:c r="J26" s="31" t="n">
        <x:v>0.206970661338203</x:v>
      </x:c>
      <x:c r="K26" s="13" t="n">
        <x:v>3.53112517889536</x:v>
      </x:c>
      <x:c r="L26" s="13" t="n">
        <x:v>3.95034826348408</x:v>
      </x:c>
      <x:c r="M26" s="31" t="n">
        <x:v>0.262022665852006</x:v>
      </x:c>
      <x:c r="N26" s="13" t="n">
        <x:v>11.9621943538499</x:v>
      </x:c>
      <x:c r="O26" s="32" t="n">
        <x:v>14.651223343302</x:v>
      </x:c>
      <x:c r="P26" s="32" t="n">
        <x:v>14.9213021882276</x:v>
      </x:c>
    </x:row>
    <x:row r="27">
      <x:c r="A27" s="9" t="str">
        <x:v>Education</x:v>
      </x:c>
      <x:c r="B27" s="9" t="str">
        <x:v>Otros</x:v>
      </x:c>
      <x:c r="C27" s="9" t="str">
        <x:v>VE/EBITDA</x:v>
      </x:c>
      <x:c r="D27" s="10" t="n">
        <x:v>18</x:v>
      </x:c>
      <x:c r="E27" s="31" t="n">
        <x:v>0.333333333333333</x:v>
      </x:c>
      <x:c r="F27" s="13" t="n">
        <x:v>28.2434268999595</x:v>
      </x:c>
      <x:c r="G27" s="13" t="n">
        <x:v>26.3254837117942</x:v>
      </x:c>
      <x:c r="H27" s="13" t="n">
        <x:v>14.3051758025114</x:v>
      </x:c>
      <x:c r="I27" s="13" t="n">
        <x:v>1.8196729710114</x:v>
      </x:c>
      <x:c r="J27" s="31" t="n">
        <x:v>0.123916115936708</x:v>
      </x:c>
      <x:c r="K27" s="13" t="n">
        <x:v>1.43206284354967</x:v>
      </x:c>
      <x:c r="L27" s="13" t="n">
        <x:v>1.64770116751079</x:v>
      </x:c>
      <x:c r="M27" s="31" t="n">
        <x:v>0.134635502651697</x:v>
      </x:c>
      <x:c r="N27" s="13" t="n">
        <x:v>10.4508754431676</x:v>
      </x:c>
      <x:c r="O27" s="32" t="n">
        <x:v>11.5086178892545</x:v>
      </x:c>
      <x:c r="P27" s="32" t="n">
        <x:v>12.1551410340277</x:v>
      </x:c>
    </x:row>
    <x:row r="28">
      <x:c r="A28" s="9" t="str">
        <x:v>Electrical Equipment</x:v>
      </x:c>
      <x:c r="B28" s="9" t="str">
        <x:v>Otros</x:v>
      </x:c>
      <x:c r="C28" s="9" t="str">
        <x:v>VE/EBITDA</x:v>
      </x:c>
      <x:c r="D28" s="10" t="n">
        <x:v>146</x:v>
      </x:c>
      <x:c r="E28" s="31" t="n">
        <x:v>0.568493150684932</x:v>
      </x:c>
      <x:c r="F28" s="13" t="n">
        <x:v>61.2313114435727</x:v>
      </x:c>
      <x:c r="G28" s="13" t="n">
        <x:v>54.9910797761213</x:v>
      </x:c>
      <x:c r="H28" s="13" t="n">
        <x:v>88.204352271882</x:v>
      </x:c>
      <x:c r="I28" s="13" t="n">
        <x:v>5.71250616071386</x:v>
      </x:c>
      <x:c r="J28" s="31" t="n">
        <x:v>0.181472442238216</x:v>
      </x:c>
      <x:c r="K28" s="13" t="n">
        <x:v>2.65584038520861</x:v>
      </x:c>
      <x:c r="L28" s="13" t="n">
        <x:v>2.81419223525494</x:v>
      </x:c>
      <x:c r="M28" s="31" t="n">
        <x:v>0.11367871555261</x:v>
      </x:c>
      <x:c r="N28" s="13" t="n">
        <x:v>18.9445187220789</x:v>
      </x:c>
      <x:c r="O28" s="32" t="n">
        <x:v>23.4235106440032</x:v>
      </x:c>
      <x:c r="P28" s="32" t="n">
        <x:v>24.3390008716382</x:v>
      </x:c>
    </x:row>
    <x:row r="29">
      <x:c r="A29" s="9" t="str">
        <x:v>Electronics (Consumer &amp; Office)</x:v>
      </x:c>
      <x:c r="B29" s="9" t="str">
        <x:v>Otros</x:v>
      </x:c>
      <x:c r="C29" s="9" t="str">
        <x:v>VE/EBITDA</x:v>
      </x:c>
      <x:c r="D29" s="10" t="n">
        <x:v>17</x:v>
      </x:c>
      <x:c r="E29" s="31" t="n">
        <x:v>0.529411764705882</x:v>
      </x:c>
      <x:c r="F29" s="13" t="n">
        <x:v>25.7261295706019</x:v>
      </x:c>
      <x:c r="G29" s="13" t="n">
        <x:v>19.8628774190709</x:v>
      </x:c>
      <x:c r="H29" s="13" t="n">
        <x:v>10.2302193508753</x:v>
      </x:c>
      <x:c r="I29" s="13" t="n">
        <x:v>3.62495685488051</x:v>
      </x:c>
      <x:c r="J29" s="31" t="n">
        <x:v>0.0801496317584692</x:v>
      </x:c>
      <x:c r="K29" s="13" t="n">
        <x:v>2.98565783728385</x:v>
      </x:c>
      <x:c r="L29" s="13" t="n">
        <x:v>2.99815275410146</x:v>
      </x:c>
      <x:c r="M29" s="31" t="n">
        <x:v>0.117615164034934</x:v>
      </x:c>
      <x:c r="N29" s="13" t="n">
        <x:v>17.3486432635516</x:v>
      </x:c>
      <x:c r="O29" s="32" t="n">
        <x:v>18.7499822399789</x:v>
      </x:c>
      <x:c r="P29" s="32" t="n">
        <x:v>25.2030581746214</x:v>
      </x:c>
    </x:row>
    <x:row r="30">
      <x:c r="A30" s="9" t="str">
        <x:v>Electronics (General)</x:v>
      </x:c>
      <x:c r="B30" s="9" t="str">
        <x:v>Otros</x:v>
      </x:c>
      <x:c r="C30" s="9" t="str">
        <x:v>VE/EBITDA</x:v>
      </x:c>
      <x:c r="D30" s="10" t="n">
        <x:v>142</x:v>
      </x:c>
      <x:c r="E30" s="31" t="n">
        <x:v>0.528169014084507</x:v>
      </x:c>
      <x:c r="F30" s="13" t="n">
        <x:v>47.8602199497311</x:v>
      </x:c>
      <x:c r="G30" s="13" t="n">
        <x:v>35.6967186708256</x:v>
      </x:c>
      <x:c r="H30" s="13" t="n">
        <x:v>27.3247475258135</x:v>
      </x:c>
      <x:c r="I30" s="13" t="n">
        <x:v>3.84277839513374</x:v>
      </x:c>
      <x:c r="J30" s="31" t="n">
        <x:v>0.0850834669397928</x:v>
      </x:c>
      <x:c r="K30" s="13" t="n">
        <x:v>2.99068103627631</x:v>
      </x:c>
      <x:c r="L30" s="13" t="n">
        <x:v>3.24598772940974</x:v>
      </x:c>
      <x:c r="M30" s="31" t="n">
        <x:v>0.128601522812164</x:v>
      </x:c>
      <x:c r="N30" s="13" t="n">
        <x:v>17.2692446733739</x:v>
      </x:c>
      <x:c r="O30" s="32" t="n">
        <x:v>18.7068602195638</x:v>
      </x:c>
      <x:c r="P30" s="32" t="n">
        <x:v>24.7766433319971</x:v>
      </x:c>
    </x:row>
    <x:row r="31">
      <x:c r="A31" s="9" t="str">
        <x:v>Engineering/Construction</x:v>
      </x:c>
      <x:c r="B31" s="9" t="str">
        <x:v>Construcción e ingeniería</x:v>
      </x:c>
      <x:c r="C31" s="9" t="str">
        <x:v>VE/EBITDA</x:v>
      </x:c>
      <x:c r="D31" s="10" t="n">
        <x:v>160</x:v>
      </x:c>
      <x:c r="E31" s="31" t="n">
        <x:v>0.30625</x:v>
      </x:c>
      <x:c r="F31" s="13" t="n">
        <x:v>62.0315690441006</x:v>
      </x:c>
      <x:c r="G31" s="13" t="n">
        <x:v>34.3269077276049</x:v>
      </x:c>
      <x:c r="H31" s="13" t="n">
        <x:v>18.1017367296582</x:v>
      </x:c>
      <x:c r="I31" s="13" t="n">
        <x:v>2.32121744708785</x:v>
      </x:c>
      <x:c r="J31" s="31" t="n">
        <x:v>0.189813566486835</x:v>
      </x:c>
      <x:c r="K31" s="13" t="n">
        <x:v>0.671847222715562</x:v>
      </x:c>
      <x:c r="L31" s="13" t="n">
        <x:v>0.851396794747185</x:v>
      </x:c>
      <x:c r="M31" s="31" t="n">
        <x:v>0.0590319462637634</x:v>
      </x:c>
      <x:c r="N31" s="13" t="n">
        <x:v>9.71134691563984</x:v>
      </x:c>
      <x:c r="O31" s="32" t="n">
        <x:v>11.708592102953</x:v>
      </x:c>
      <x:c r="P31" s="32" t="n">
        <x:v>14.3418049953355</x:v>
      </x:c>
    </x:row>
    <x:row r="32">
      <x:c r="A32" s="9" t="str">
        <x:v>Entertainment</x:v>
      </x:c>
      <x:c r="B32" s="9" t="str">
        <x:v>Medios y publicidad</x:v>
      </x:c>
      <x:c r="C32" s="9" t="str">
        <x:v>VE/EBITDA y VE/ventas</x:v>
      </x:c>
      <x:c r="D32" s="10" t="n">
        <x:v>199</x:v>
      </x:c>
      <x:c r="E32" s="31" t="n">
        <x:v>0.693467336683417</x:v>
      </x:c>
      <x:c r="F32" s="13" t="n">
        <x:v>124.158352395457</x:v>
      </x:c>
      <x:c r="G32" s="13" t="n">
        <x:v>126.962185782171</x:v>
      </x:c>
      <x:c r="H32" s="13" t="n">
        <x:v>22.9856778692683</x:v>
      </x:c>
      <x:c r="I32" s="13" t="n">
        <x:v>3.51411645086224</x:v>
      </x:c>
      <x:c r="J32" s="31" t="n">
        <x:v>-0.0588930716662703</x:v>
      </x:c>
      <x:c r="K32" s="13" t="n">
        <x:v>3.4736725142699</x:v>
      </x:c>
      <x:c r="L32" s="13" t="n">
        <x:v>3.58647243042854</x:v>
      </x:c>
      <x:c r="M32" s="31" t="n">
        <x:v>0.085074374949276</x:v>
      </x:c>
      <x:c r="N32" s="13" t="n">
        <x:v>22.5648171338067</x:v>
      </x:c>
      <x:c r="O32" s="32" t="n">
        <x:v>33.0295767360475</x:v>
      </x:c>
      <x:c r="P32" s="32" t="n">
        <x:v>39.4823089964344</x:v>
      </x:c>
    </x:row>
    <x:row r="33">
      <x:c r="A33" s="9" t="str">
        <x:v>Environmental &amp; Waste Services</x:v>
      </x:c>
      <x:c r="B33" s="9" t="str">
        <x:v>Otros</x:v>
      </x:c>
      <x:c r="C33" s="9" t="str">
        <x:v>VE/EBITDA</x:v>
      </x:c>
      <x:c r="D33" s="10" t="n">
        <x:v>48</x:v>
      </x:c>
      <x:c r="E33" s="31" t="n">
        <x:v>0.583333333333333</x:v>
      </x:c>
      <x:c r="F33" s="13" t="n">
        <x:v>59.0419059412733</x:v>
      </x:c>
      <x:c r="G33" s="13" t="n">
        <x:v>48.6314721024994</x:v>
      </x:c>
      <x:c r="H33" s="13" t="n">
        <x:v>20.9674363113179</x:v>
      </x:c>
      <x:c r="I33" s="13" t="n">
        <x:v>1.90856873576374</x:v>
      </x:c>
      <x:c r="J33" s="31" t="n">
        <x:v>0.040503869646515</x:v>
      </x:c>
      <x:c r="K33" s="13" t="n">
        <x:v>0.801888842399784</x:v>
      </x:c>
      <x:c r="L33" s="13" t="n">
        <x:v>1.16761036540521</x:v>
      </x:c>
      <x:c r="M33" s="31" t="n">
        <x:v>0.0640628811089016</x:v>
      </x:c>
      <x:c r="N33" s="13" t="n">
        <x:v>10.3746830027146</x:v>
      </x:c>
      <x:c r="O33" s="32" t="n">
        <x:v>12.133074899157</x:v>
      </x:c>
      <x:c r="P33" s="32" t="n">
        <x:v>17.7263763441675</x:v>
      </x:c>
    </x:row>
    <x:row r="34">
      <x:c r="A34" s="9" t="str">
        <x:v>Farming/Agriculture</x:v>
      </x:c>
      <x:c r="B34" s="9" t="str">
        <x:v>Otros</x:v>
      </x:c>
      <x:c r="C34" s="9" t="str">
        <x:v>VE/EBITDA</x:v>
      </x:c>
      <x:c r="D34" s="10" t="n">
        <x:v>46</x:v>
      </x:c>
      <x:c r="E34" s="31" t="n">
        <x:v>0.347826086956522</x:v>
      </x:c>
      <x:c r="F34" s="13" t="n">
        <x:v>64.1900056010946</x:v>
      </x:c>
      <x:c r="G34" s="13" t="n">
        <x:v>109.716894722658</x:v>
      </x:c>
      <x:c r="H34" s="13" t="n">
        <x:v>16.9221981493987</x:v>
      </x:c>
      <x:c r="I34" s="13" t="n">
        <x:v>1.38348878634433</x:v>
      </x:c>
      <x:c r="J34" s="31" t="n">
        <x:v>0.0925921638439056</x:v>
      </x:c>
      <x:c r="K34" s="13" t="n">
        <x:v>0.730059440848167</x:v>
      </x:c>
      <x:c r="L34" s="13" t="n">
        <x:v>1.34034429159432</x:v>
      </x:c>
      <x:c r="M34" s="31" t="n">
        <x:v>0.0753937661207281</x:v>
      </x:c>
      <x:c r="N34" s="13" t="n">
        <x:v>12.3130730793898</x:v>
      </x:c>
      <x:c r="O34" s="32" t="n">
        <x:v>11.4004228182601</x:v>
      </x:c>
      <x:c r="P34" s="32" t="n">
        <x:v>17.6093625087838</x:v>
      </x:c>
    </x:row>
    <x:row r="35">
      <x:c r="A35" s="9" t="str">
        <x:v>Financial Svcs. (Non-bank &amp; Insurance)</x:v>
      </x:c>
      <x:c r="B35" s="9" t="str">
        <x:v>Financiero</x:v>
      </x:c>
      <x:c r="C35" s="9" t="str">
        <x:v>P/VC y PER</x:v>
      </x:c>
      <x:c r="D35" s="10" t="n">
        <x:v>146</x:v>
      </x:c>
      <x:c r="E35" s="31" t="n">
        <x:v>0.335616438356164</x:v>
      </x:c>
      <x:c r="F35" s="13" t="n">
        <x:v>52.9325638372704</x:v>
      </x:c>
      <x:c r="G35" s="13" t="n">
        <x:v>31.1853518562104</x:v>
      </x:c>
      <x:c r="H35" s="13" t="n">
        <x:v>27.570811522959</x:v>
      </x:c>
      <x:c r="I35" s="13" t="n">
        <x:v>1.01471800660803</x:v>
      </x:c>
      <x:c r="J35" s="31" t="n">
        <x:v>0.130180726900044</x:v>
      </x:c>
      <x:c r="K35" s="13" t="n">
        <x:v>2.38881473039234</x:v>
      </x:c>
      <x:c r="L35" s="13" t="n">
        <x:v>7.25811575427916</x:v>
      </x:c>
      <x:c r="M35" s="31" t="n">
        <x:v>0.0907156051111669</x:v>
      </x:c>
      <x:c r="N35" s="13" t="n">
        <x:v>17.0125401594246</x:v>
      </x:c>
      <x:c r="O35" s="32" t="n">
        <x:v>78.011397944563</x:v>
      </x:c>
      <x:c r="P35" s="32" t="n">
        <x:v>20.1132452935843</x:v>
      </x:c>
    </x:row>
    <x:row r="36">
      <x:c r="A36" s="9" t="str">
        <x:v>Food Processing</x:v>
      </x:c>
      <x:c r="B36" s="9" t="str">
        <x:v>Consumo</x:v>
      </x:c>
      <x:c r="C36" s="9" t="str">
        <x:v>VE/EBITDA y VE/ventas</x:v>
      </x:c>
      <x:c r="D36" s="10" t="n">
        <x:v>173</x:v>
      </x:c>
      <x:c r="E36" s="31" t="n">
        <x:v>0.421965317919075</x:v>
      </x:c>
      <x:c r="F36" s="13" t="n">
        <x:v>64.536971648534</x:v>
      </x:c>
      <x:c r="G36" s="13" t="n">
        <x:v>33.3989800645403</x:v>
      </x:c>
      <x:c r="H36" s="13" t="n">
        <x:v>16.7456903136391</x:v>
      </x:c>
      <x:c r="I36" s="13" t="n">
        <x:v>3.03206106608461</x:v>
      </x:c>
      <x:c r="J36" s="31" t="n">
        <x:v>0.155223824991306</x:v>
      </x:c>
      <x:c r="K36" s="13" t="n">
        <x:v>1.20238711392238</x:v>
      </x:c>
      <x:c r="L36" s="13" t="n">
        <x:v>1.56371470042854</x:v>
      </x:c>
      <x:c r="M36" s="31" t="n">
        <x:v>0.0937573707167262</x:v>
      </x:c>
      <x:c r="N36" s="13" t="n">
        <x:v>12.4340495672388</x:v>
      </x:c>
      <x:c r="O36" s="32" t="n">
        <x:v>13.6759628731382</x:v>
      </x:c>
      <x:c r="P36" s="32" t="n">
        <x:v>16.3711852701327</x:v>
      </x:c>
    </x:row>
    <x:row r="37">
      <x:c r="A37" s="9" t="str">
        <x:v>Food Wholesalers</x:v>
      </x:c>
      <x:c r="B37" s="9" t="str">
        <x:v>Otros</x:v>
      </x:c>
      <x:c r="C37" s="9" t="str">
        <x:v>VE/EBITDA</x:v>
      </x:c>
      <x:c r="D37" s="10" t="n">
        <x:v>11</x:v>
      </x:c>
      <x:c r="E37" s="31" t="n">
        <x:v>0.181818181818182</x:v>
      </x:c>
      <x:c r="F37" s="13" t="n">
        <x:v>23.4852803685994</x:v>
      </x:c>
      <x:c r="G37" s="13" t="n">
        <x:v>15.9140097107832</x:v>
      </x:c>
      <x:c r="H37" s="13" t="n">
        <x:v>10.3741180972155</x:v>
      </x:c>
      <x:c r="I37" s="13" t="n">
        <x:v>1.53624143647512</x:v>
      </x:c>
      <x:c r="J37" s="31" t="n">
        <x:v>-0.00946276105291124</x:v>
      </x:c>
      <x:c r="K37" s="13" t="n">
        <x:v>0.122731887512391</x:v>
      </x:c>
      <x:c r="L37" s="13" t="n">
        <x:v>0.230918933366311</x:v>
      </x:c>
      <x:c r="M37" s="31" t="n">
        <x:v>0.0104812377705928</x:v>
      </x:c>
      <x:c r="N37" s="13" t="n">
        <x:v>10.5709420283239</x:v>
      </x:c>
      <x:c r="O37" s="32" t="n">
        <x:v>12.1274106198213</x:v>
      </x:c>
      <x:c r="P37" s="32" t="n">
        <x:v>22.0316472558423</x:v>
      </x:c>
    </x:row>
    <x:row r="38">
      <x:c r="A38" s="9" t="str">
        <x:v>Furn/Home Furnishings</x:v>
      </x:c>
      <x:c r="B38" s="9" t="str">
        <x:v>Otros</x:v>
      </x:c>
      <x:c r="C38" s="9" t="str">
        <x:v>VE/EBITDA</x:v>
      </x:c>
      <x:c r="D38" s="10" t="n">
        <x:v>53</x:v>
      </x:c>
      <x:c r="E38" s="31" t="n">
        <x:v>0.509433962264151</x:v>
      </x:c>
      <x:c r="F38" s="13" t="n">
        <x:v>37.1172601657007</x:v>
      </x:c>
      <x:c r="G38" s="13" t="n">
        <x:v>42.382501045568</x:v>
      </x:c>
      <x:c r="H38" s="13" t="n">
        <x:v>21.7365829001651</x:v>
      </x:c>
      <x:c r="I38" s="13" t="n">
        <x:v>1.26896421064325</x:v>
      </x:c>
      <x:c r="J38" s="31" t="n">
        <x:v>-0.0455392982419656</x:v>
      </x:c>
      <x:c r="K38" s="13" t="n">
        <x:v>0.346298483391096</x:v>
      </x:c>
      <x:c r="L38" s="13" t="n">
        <x:v>0.690569749276935</x:v>
      </x:c>
      <x:c r="M38" s="31" t="n">
        <x:v>0.0368217770657468</x:v>
      </x:c>
      <x:c r="N38" s="13" t="n">
        <x:v>9.45266833743719</x:v>
      </x:c>
      <x:c r="O38" s="32" t="n">
        <x:v>10.7628960042629</x:v>
      </x:c>
      <x:c r="P38" s="32" t="n">
        <x:v>18.1587672414514</x:v>
      </x:c>
    </x:row>
    <x:row r="39">
      <x:c r="A39" s="9" t="str">
        <x:v>Green &amp; Renewable Energy</x:v>
      </x:c>
      <x:c r="B39" s="9" t="str">
        <x:v>Energía</x:v>
      </x:c>
      <x:c r="C39" s="9" t="str">
        <x:v>VE/EBITDA</x:v>
      </x:c>
      <x:c r="D39" s="10" t="n">
        <x:v>60</x:v>
      </x:c>
      <x:c r="E39" s="31" t="n">
        <x:v>0.583333333333333</x:v>
      </x:c>
      <x:c r="F39" s="13" t="n">
        <x:v>36.1531917060302</x:v>
      </x:c>
      <x:c r="G39" s="13" t="n">
        <x:v>31.0148663706043</x:v>
      </x:c>
      <x:c r="H39" s="13" t="n">
        <x:v>17.7968581627925</x:v>
      </x:c>
      <x:c r="I39" s="13" t="n">
        <x:v>1.36675965474901</x:v>
      </x:c>
      <x:c r="J39" s="31" t="n">
        <x:v>0.0125546086126247</x:v>
      </x:c>
      <x:c r="K39" s="13" t="n">
        <x:v>2.01658788516626</x:v>
      </x:c>
      <x:c r="L39" s="13" t="n">
        <x:v>3.55439834355822</x:v>
      </x:c>
      <x:c r="M39" s="31" t="n">
        <x:v>0.16285711122402</x:v>
      </x:c>
      <x:c r="N39" s="13" t="n">
        <x:v>11.905945949018</x:v>
      </x:c>
      <x:c r="O39" s="32" t="n">
        <x:v>13.5095448964055</x:v>
      </x:c>
      <x:c r="P39" s="32" t="n">
        <x:v>21.6604239539078</x:v>
      </x:c>
    </x:row>
    <x:row r="40">
      <x:c r="A40" s="9" t="str">
        <x:v>Healthcare Products</x:v>
      </x:c>
      <x:c r="B40" s="9" t="str">
        <x:v>Salud</x:v>
      </x:c>
      <x:c r="C40" s="9" t="str">
        <x:v>VE/ventas y VE/EBITDA</x:v>
      </x:c>
      <x:c r="D40" s="10" t="n">
        <x:v>163</x:v>
      </x:c>
      <x:c r="E40" s="31" t="n">
        <x:v>0.570552147239264</x:v>
      </x:c>
      <x:c r="F40" s="13" t="n">
        <x:v>215.425637324879</x:v>
      </x:c>
      <x:c r="G40" s="13" t="n">
        <x:v>215.447002099191</x:v>
      </x:c>
      <x:c r="H40" s="13" t="n">
        <x:v>27.8344288785657</x:v>
      </x:c>
      <x:c r="I40" s="13" t="n">
        <x:v>2.83862212262504</x:v>
      </x:c>
      <x:c r="J40" s="31" t="n">
        <x:v>0.0769617455573336</x:v>
      </x:c>
      <x:c r="K40" s="13" t="n">
        <x:v>2.98204057656655</x:v>
      </x:c>
      <x:c r="L40" s="13" t="n">
        <x:v>3.45462485995376</x:v>
      </x:c>
      <x:c r="M40" s="31" t="n">
        <x:v>0.13802280799178</x:v>
      </x:c>
      <x:c r="N40" s="13" t="n">
        <x:v>16.9978826945877</x:v>
      </x:c>
      <x:c r="O40" s="32" t="n">
        <x:v>18.9802170995742</x:v>
      </x:c>
      <x:c r="P40" s="32" t="n">
        <x:v>24.8326407524008</x:v>
      </x:c>
    </x:row>
    <x:row r="41">
      <x:c r="A41" s="9" t="str">
        <x:v>Healthcare Support Services</x:v>
      </x:c>
      <x:c r="B41" s="9" t="str">
        <x:v>Salud</x:v>
      </x:c>
      <x:c r="C41" s="9" t="str">
        <x:v>VE/ventas y VE/EBITDA</x:v>
      </x:c>
      <x:c r="D41" s="10" t="n">
        <x:v>47</x:v>
      </x:c>
      <x:c r="E41" s="31" t="n">
        <x:v>0.468085106382979</x:v>
      </x:c>
      <x:c r="F41" s="13" t="n">
        <x:v>3167.80666889944</x:v>
      </x:c>
      <x:c r="G41" s="13" t="n">
        <x:v>388.338523800268</x:v>
      </x:c>
      <x:c r="H41" s="13" t="n">
        <x:v>38.9236797930798</x:v>
      </x:c>
      <x:c r="I41" s="13" t="n">
        <x:v>1.48746857316032</x:v>
      </x:c>
      <x:c r="J41" s="31" t="n">
        <x:v>0.0703835864900797</x:v>
      </x:c>
      <x:c r="K41" s="13" t="n">
        <x:v>0.881474769932493</x:v>
      </x:c>
      <x:c r="L41" s="13" t="n">
        <x:v>1.26890545479733</x:v>
      </x:c>
      <x:c r="M41" s="31" t="n">
        <x:v>0.0701217766388244</x:v>
      </x:c>
      <x:c r="N41" s="13" t="n">
        <x:v>12.5901458725978</x:v>
      </x:c>
      <x:c r="O41" s="32" t="n">
        <x:v>14.4196877410098</x:v>
      </x:c>
      <x:c r="P41" s="32" t="n">
        <x:v>17.9401465491543</x:v>
      </x:c>
    </x:row>
    <x:row r="42">
      <x:c r="A42" s="9" t="str">
        <x:v>Heathcare Information and Technology</x:v>
      </x:c>
      <x:c r="B42" s="9" t="str">
        <x:v>Otros</x:v>
      </x:c>
      <x:c r="C42" s="9" t="str">
        <x:v>VE/EBITDA</x:v>
      </x:c>
      <x:c r="D42" s="10" t="n">
        <x:v>89</x:v>
      </x:c>
      <x:c r="E42" s="31" t="n">
        <x:v>0.617977528089888</x:v>
      </x:c>
      <x:c r="F42" s="13" t="n">
        <x:v>77.0970319636173</x:v>
      </x:c>
      <x:c r="G42" s="13" t="n">
        <x:v>36.3859133706524</x:v>
      </x:c>
      <x:c r="H42" s="13" t="n">
        <x:v>28.0139984361929</x:v>
      </x:c>
      <x:c r="I42" s="13" t="n">
        <x:v>3.03162304372305</x:v>
      </x:c>
      <x:c r="J42" s="31" t="n">
        <x:v>0.0672827741690411</x:v>
      </x:c>
      <x:c r="K42" s="13" t="n">
        <x:v>3.06613321559517</x:v>
      </x:c>
      <x:c r="L42" s="13" t="n">
        <x:v>3.49648610349968</x:v>
      </x:c>
      <x:c r="M42" s="31" t="n">
        <x:v>0.135329414570844</x:v>
      </x:c>
      <x:c r="N42" s="13" t="n">
        <x:v>15.9159883576353</x:v>
      </x:c>
      <x:c r="O42" s="32" t="n">
        <x:v>20.8740861597411</x:v>
      </x:c>
      <x:c r="P42" s="32" t="n">
        <x:v>25.2609571654677</x:v>
      </x:c>
    </x:row>
    <x:row r="43">
      <x:c r="A43" s="9" t="str">
        <x:v>Homebuilding</x:v>
      </x:c>
      <x:c r="B43" s="9" t="str">
        <x:v>Otros</x:v>
      </x:c>
      <x:c r="C43" s="9" t="str">
        <x:v>VE/EBITDA</x:v>
      </x:c>
      <x:c r="D43" s="10" t="n">
        <x:v>36</x:v>
      </x:c>
      <x:c r="E43" s="31" t="n">
        <x:v>0.388888888888889</x:v>
      </x:c>
      <x:c r="F43" s="13" t="n">
        <x:v>28.2943981481295</x:v>
      </x:c>
      <x:c r="G43" s="13" t="n">
        <x:v>30.8998196246397</x:v>
      </x:c>
      <x:c r="H43" s="13" t="n">
        <x:v>16.2140153661227</x:v>
      </x:c>
      <x:c r="I43" s="13" t="n">
        <x:v>0.95867626640366</x:v>
      </x:c>
      <x:c r="J43" s="31" t="n">
        <x:v>0.0500583859094513</x:v>
      </x:c>
      <x:c r="K43" s="13" t="n">
        <x:v>1.03416818065258</x:v>
      </x:c>
      <x:c r="L43" s="13" t="n">
        <x:v>1.12349566535657</x:v>
      </x:c>
      <x:c r="M43" s="31" t="n">
        <x:v>0.0984704145780213</x:v>
      </x:c>
      <x:c r="N43" s="13" t="n">
        <x:v>10.6029559223447</x:v>
      </x:c>
      <x:c r="O43" s="32" t="n">
        <x:v>11.5491639935531</x:v>
      </x:c>
      <x:c r="P43" s="32" t="n">
        <x:v>11.0924689116211</x:v>
      </x:c>
    </x:row>
    <x:row r="44">
      <x:c r="A44" s="9" t="str">
        <x:v>Hospitals/Healthcare Facilities</x:v>
      </x:c>
      <x:c r="B44" s="9" t="str">
        <x:v>Salud</x:v>
      </x:c>
      <x:c r="C44" s="9" t="str">
        <x:v>VE/ventas y VE/EBITDA</x:v>
      </x:c>
      <x:c r="D44" s="10" t="n">
        <x:v>29</x:v>
      </x:c>
      <x:c r="E44" s="31" t="n">
        <x:v>0.241379310344828</x:v>
      </x:c>
      <x:c r="F44" s="13" t="n">
        <x:v>29.2050009675266</x:v>
      </x:c>
      <x:c r="G44" s="13" t="n">
        <x:v>42.7102457618987</x:v>
      </x:c>
      <x:c r="H44" s="13" t="n">
        <x:v>13.511873255586</x:v>
      </x:c>
      <x:c r="I44" s="13" t="n">
        <x:v>1.10289846349926</x:v>
      </x:c>
      <x:c r="J44" s="31" t="n">
        <x:v>0.0124939793922188</x:v>
      </x:c>
      <x:c r="K44" s="13" t="n">
        <x:v>0.502462435241518</x:v>
      </x:c>
      <x:c r="L44" s="13" t="n">
        <x:v>1.39714919540067</x:v>
      </x:c>
      <x:c r="M44" s="31" t="n">
        <x:v>0.0597178113348144</x:v>
      </x:c>
      <x:c r="N44" s="13" t="n">
        <x:v>10.2267371829009</x:v>
      </x:c>
      <x:c r="O44" s="32" t="n">
        <x:v>12.9653854902301</x:v>
      </x:c>
      <x:c r="P44" s="32" t="n">
        <x:v>23.3684597555615</x:v>
      </x:c>
    </x:row>
    <x:row r="45">
      <x:c r="A45" s="9" t="str">
        <x:v>Hotel/Gaming</x:v>
      </x:c>
      <x:c r="B45" s="9" t="str">
        <x:v>Turismo y ocio</x:v>
      </x:c>
      <x:c r="C45" s="9" t="str">
        <x:v>VE/EBITDA</x:v>
      </x:c>
      <x:c r="D45" s="10" t="n">
        <x:v>103</x:v>
      </x:c>
      <x:c r="E45" s="31" t="n">
        <x:v>0.368932038834951</x:v>
      </x:c>
      <x:c r="F45" s="13" t="n">
        <x:v>63.2518501344006</x:v>
      </x:c>
      <x:c r="G45" s="13" t="n">
        <x:v>85.2937657647128</x:v>
      </x:c>
      <x:c r="H45" s="13" t="n">
        <x:v>23.7172072517341</x:v>
      </x:c>
      <x:c r="I45" s="13" t="n">
        <x:v>3.77468890479795</x:v>
      </x:c>
      <x:c r="J45" s="31" t="n">
        <x:v>0.24160465157698</x:v>
      </x:c>
      <x:c r="K45" s="13" t="n">
        <x:v>1.66197078864062</x:v>
      </x:c>
      <x:c r="L45" s="13" t="n">
        <x:v>2.13069914084653</x:v>
      </x:c>
      <x:c r="M45" s="31" t="n">
        <x:v>0.139596138377944</x:v>
      </x:c>
      <x:c r="N45" s="13" t="n">
        <x:v>10.91827728654</x:v>
      </x:c>
      <x:c r="O45" s="32" t="n">
        <x:v>12.6502699601264</x:v>
      </x:c>
      <x:c r="P45" s="32" t="n">
        <x:v>14.8457792396683</x:v>
      </x:c>
    </x:row>
    <x:row r="46">
      <x:c r="A46" s="9" t="str">
        <x:v>Household Products</x:v>
      </x:c>
      <x:c r="B46" s="9" t="str">
        <x:v>Otros</x:v>
      </x:c>
      <x:c r="C46" s="9" t="str">
        <x:v>VE/EBITDA</x:v>
      </x:c>
      <x:c r="D46" s="10" t="n">
        <x:v>65</x:v>
      </x:c>
      <x:c r="E46" s="31" t="n">
        <x:v>0.446153846153846</x:v>
      </x:c>
      <x:c r="F46" s="13" t="n">
        <x:v>36.6643064565692</x:v>
      </x:c>
      <x:c r="G46" s="13" t="n">
        <x:v>25.4720007501429</x:v>
      </x:c>
      <x:c r="H46" s="13" t="n">
        <x:v>20.9234260390077</x:v>
      </x:c>
      <x:c r="I46" s="13" t="n">
        <x:v>4.93728170493047</x:v>
      </x:c>
      <x:c r="J46" s="31" t="n">
        <x:v>0.202011895312999</x:v>
      </x:c>
      <x:c r="K46" s="13" t="n">
        <x:v>2.63888847564843</x:v>
      </x:c>
      <x:c r="L46" s="13" t="n">
        <x:v>2.93664858680571</x:v>
      </x:c>
      <x:c r="M46" s="31" t="n">
        <x:v>0.176120812468796</x:v>
      </x:c>
      <x:c r="N46" s="13" t="n">
        <x:v>14.6998102151373</x:v>
      </x:c>
      <x:c r="O46" s="32" t="n">
        <x:v>16.4832000245138</x:v>
      </x:c>
      <x:c r="P46" s="32" t="n">
        <x:v>16.6205625382746</x:v>
      </x:c>
    </x:row>
    <x:row r="47">
      <x:c r="A47" s="9" t="str">
        <x:v>Information Services</x:v>
      </x:c>
      <x:c r="B47" s="9" t="str">
        <x:v>Software y datos</x:v>
      </x:c>
      <x:c r="C47" s="9" t="str">
        <x:v>VE/ventas y VE/EBITDA</x:v>
      </x:c>
      <x:c r="D47" s="10" t="n">
        <x:v>6</x:v>
      </x:c>
      <x:c r="E47" s="31" t="n">
        <x:v>0.5</x:v>
      </x:c>
      <x:c r="F47" s="13" t="n">
        <x:v>18.6021321245698</x:v>
      </x:c>
      <x:c r="G47" s="13" t="n">
        <x:v>25.660276459533</x:v>
      </x:c>
      <x:c r="H47" s="13" t="n">
        <x:v>7.74908351810791</x:v>
      </x:c>
      <x:c r="I47" s="13" t="n">
        <x:v>1.00274994369485</x:v>
      </x:c>
      <x:c r="J47" s="31" t="n">
        <x:v>0.122945019052803</x:v>
      </x:c>
      <x:c r="K47" s="13" t="n">
        <x:v>0.319106663374085</x:v>
      </x:c>
      <x:c r="L47" s="13" t="n">
        <x:v>0.699347782035402</x:v>
      </x:c>
      <x:c r="M47" s="31" t="n">
        <x:v>0.0936403861703729</x:v>
      </x:c>
      <x:c r="N47" s="13" t="n">
        <x:v>5.35251654301183</x:v>
      </x:c>
      <x:c r="O47" s="32" t="n">
        <x:v>5.91020976109899</x:v>
      </x:c>
      <x:c r="P47" s="32" t="n">
        <x:v>7.42938493888633</x:v>
      </x:c>
    </x:row>
    <x:row r="48">
      <x:c r="A48" s="9" t="str">
        <x:v>Insurance (General)</x:v>
      </x:c>
      <x:c r="B48" s="9" t="str">
        <x:v>Financiero</x:v>
      </x:c>
      <x:c r="C48" s="9" t="str">
        <x:v>P/VC y PER</x:v>
      </x:c>
      <x:c r="D48" s="10" t="n">
        <x:v>34</x:v>
      </x:c>
      <x:c r="E48" s="31" t="n">
        <x:v>0.117647058823529</x:v>
      </x:c>
      <x:c r="F48" s="13" t="n">
        <x:v>15.974697120434</x:v>
      </x:c>
      <x:c r="G48" s="13" t="n">
        <x:v>13.0434233837656</x:v>
      </x:c>
      <x:c r="H48" s="13" t="n">
        <x:v>13.4571230695514</x:v>
      </x:c>
      <x:c r="I48" s="13" t="n">
        <x:v>2.15387723715495</x:v>
      </x:c>
      <x:c r="J48" s="31" t="n">
        <x:v>0.187371747759414</x:v>
      </x:c>
      <x:c r="K48" s="13" t="n">
        <x:v>1.19515806536981</x:v>
      </x:c>
      <x:c r="L48" s="13" t="n">
        <x:v>1.35900649412604</x:v>
      </x:c>
      <x:c r="M48" s="31" t="n">
        <x:v>0.148411639695799</x:v>
      </x:c>
      <x:c r="N48" s="13" t="n">
        <x:v>8.06661573686848</x:v>
      </x:c>
      <x:c r="O48" s="32" t="n">
        <x:v>11.6201676583791</x:v>
      </x:c>
      <x:c r="P48" s="32" t="n">
        <x:v>7.55271515762399</x:v>
      </x:c>
    </x:row>
    <x:row r="49">
      <x:c r="A49" s="9" t="str">
        <x:v>Insurance (Life)</x:v>
      </x:c>
      <x:c r="B49" s="9" t="str">
        <x:v>Financiero</x:v>
      </x:c>
      <x:c r="C49" s="9" t="str">
        <x:v>P/VC y PER</x:v>
      </x:c>
      <x:c r="D49" s="10" t="n">
        <x:v>15</x:v>
      </x:c>
      <x:c r="E49" s="31" t="n">
        <x:v>0.133333333333333</x:v>
      </x:c>
      <x:c r="F49" s="13" t="n">
        <x:v>40.7572659663802</x:v>
      </x:c>
      <x:c r="G49" s="13" t="n">
        <x:v>22.3664210531973</x:v>
      </x:c>
      <x:c r="H49" s="13" t="n">
        <x:v>14.8838945224852</x:v>
      </x:c>
      <x:c r="I49" s="13" t="n">
        <x:v>1.75957115528673</x:v>
      </x:c>
      <x:c r="J49" s="31" t="n">
        <x:v>0.0886558102390365</x:v>
      </x:c>
      <x:c r="K49" s="13" t="n">
        <x:v>1.07042628816232</x:v>
      </x:c>
      <x:c r="L49" s="13" t="n">
        <x:v>1.49862589741779</x:v>
      </x:c>
      <x:c r="M49" s="31" t="n">
        <x:v>0.169043984652685</x:v>
      </x:c>
      <x:c r="N49" s="13" t="n">
        <x:v>8.54877295131464</x:v>
      </x:c>
      <x:c r="O49" s="32" t="n">
        <x:v>10.5334202574024</x:v>
      </x:c>
      <x:c r="P49" s="32" t="n">
        <x:v>8.08627161172389</x:v>
      </x:c>
    </x:row>
    <x:row r="50">
      <x:c r="A50" s="9" t="str">
        <x:v>Insurance (Prop/Cas.)</x:v>
      </x:c>
      <x:c r="B50" s="9" t="str">
        <x:v>Financiero</x:v>
      </x:c>
      <x:c r="C50" s="9" t="str">
        <x:v>P/VC y PER</x:v>
      </x:c>
      <x:c r="D50" s="10" t="n">
        <x:v>19</x:v>
      </x:c>
      <x:c r="E50" s="31" t="n">
        <x:v>0</x:v>
      </x:c>
      <x:c r="F50" s="13" t="n">
        <x:v>23.7560151647069</x:v>
      </x:c>
      <x:c r="G50" s="13" t="n">
        <x:v>20.5705315845128</x:v>
      </x:c>
      <x:c r="H50" s="13" t="n">
        <x:v>13.4698630156452</x:v>
      </x:c>
      <x:c r="I50" s="13" t="n">
        <x:v>1.90461908744697</x:v>
      </x:c>
      <x:c r="J50" s="31" t="n">
        <x:v>0.170563349906728</x:v>
      </x:c>
      <x:c r="K50" s="13" t="n">
        <x:v>2.01934022720682</x:v>
      </x:c>
      <x:c r="L50" s="13" t="n">
        <x:v>2.29916068981978</x:v>
      </x:c>
      <x:c r="M50" s="31" t="n">
        <x:v>0.205183976072184</x:v>
      </x:c>
      <x:c r="N50" s="13" t="n">
        <x:v>10.6586473564373</x:v>
      </x:c>
      <x:c r="O50" s="32" t="n">
        <x:v>11.9594663253329</x:v>
      </x:c>
      <x:c r="P50" s="32" t="n">
        <x:v>11.2046972919561</x:v>
      </x:c>
    </x:row>
    <x:row r="51">
      <x:c r="A51" s="9" t="str">
        <x:v>Investments &amp; Asset Management</x:v>
      </x:c>
      <x:c r="B51" s="9" t="str">
        <x:v>Otros</x:v>
      </x:c>
      <x:c r="C51" s="9" t="str">
        <x:v>VE/EBITDA</x:v>
      </x:c>
      <x:c r="D51" s="10" t="n">
        <x:v>338</x:v>
      </x:c>
      <x:c r="E51" s="31" t="n">
        <x:v>0.526627218934911</x:v>
      </x:c>
      <x:c r="F51" s="13" t="n">
        <x:v>215.027097391441</x:v>
      </x:c>
      <x:c r="G51" s="13" t="n">
        <x:v>63.3452055132869</x:v>
      </x:c>
      <x:c r="H51" s="13" t="n">
        <x:v>17.1292643396143</x:v>
      </x:c>
      <x:c r="I51" s="13" t="n">
        <x:v>1.74040153021532</x:v>
      </x:c>
      <x:c r="J51" s="31" t="n">
        <x:v>0.136947609038025</x:v>
      </x:c>
      <x:c r="K51" s="13" t="n">
        <x:v>3.12041410537574</x:v>
      </x:c>
      <x:c r="L51" s="13" t="n">
        <x:v>4.64457046741991</x:v>
      </x:c>
      <x:c r="M51" s="31" t="n">
        <x:v>0.227338545692239</x:v>
      </x:c>
      <x:c r="N51" s="13" t="n">
        <x:v>10.4319105734569</x:v>
      </x:c>
      <x:c r="O51" s="32" t="n">
        <x:v>21.481833175054</x:v>
      </x:c>
      <x:c r="P51" s="32" t="n">
        <x:v>11.1632880864888</x:v>
      </x:c>
    </x:row>
    <x:row r="52">
      <x:c r="A52" s="9" t="str">
        <x:v>Machinery</x:v>
      </x:c>
      <x:c r="B52" s="9" t="str">
        <x:v>Otros</x:v>
      </x:c>
      <x:c r="C52" s="9" t="str">
        <x:v>VE/EBITDA</x:v>
      </x:c>
      <x:c r="D52" s="10" t="n">
        <x:v>210</x:v>
      </x:c>
      <x:c r="E52" s="31" t="n">
        <x:v>0.438095238095238</x:v>
      </x:c>
      <x:c r="F52" s="13" t="n">
        <x:v>38.9976034500844</x:v>
      </x:c>
      <x:c r="G52" s="13" t="n">
        <x:v>37.881380995667</x:v>
      </x:c>
      <x:c r="H52" s="13" t="n">
        <x:v>31.8333675677716</x:v>
      </x:c>
      <x:c r="I52" s="13" t="n">
        <x:v>4.05215720051761</x:v>
      </x:c>
      <x:c r="J52" s="31" t="n">
        <x:v>0.157638850157155</x:v>
      </x:c>
      <x:c r="K52" s="13" t="n">
        <x:v>2.13722938512789</x:v>
      </x:c>
      <x:c r="L52" s="13" t="n">
        <x:v>2.2576214663535</x:v>
      </x:c>
      <x:c r="M52" s="31" t="n">
        <x:v>0.117327193510721</x:v>
      </x:c>
      <x:c r="N52" s="13" t="n">
        <x:v>14.9805324062405</x:v>
      </x:c>
      <x:c r="O52" s="32" t="n">
        <x:v>17.4103674573035</x:v>
      </x:c>
      <x:c r="P52" s="32" t="n">
        <x:v>19.0489052369466</x:v>
      </x:c>
    </x:row>
    <x:row r="53">
      <x:c r="A53" s="9" t="str">
        <x:v>Metals &amp; Mining</x:v>
      </x:c>
      <x:c r="B53" s="9" t="str">
        <x:v>Otros</x:v>
      </x:c>
      <x:c r="C53" s="9" t="str">
        <x:v>VE/EBITDA</x:v>
      </x:c>
      <x:c r="D53" s="10" t="n">
        <x:v>118</x:v>
      </x:c>
      <x:c r="E53" s="31" t="n">
        <x:v>0.73728813559322</x:v>
      </x:c>
      <x:c r="F53" s="13" t="n">
        <x:v>31.3984858366943</x:v>
      </x:c>
      <x:c r="G53" s="13" t="n">
        <x:v>19.3348184396016</x:v>
      </x:c>
      <x:c r="H53" s="13" t="n">
        <x:v>15.7729922085513</x:v>
      </x:c>
      <x:c r="I53" s="13" t="n">
        <x:v>2.00950009531094</x:v>
      </x:c>
      <x:c r="J53" s="31" t="n">
        <x:v>0.0487929029102707</x:v>
      </x:c>
      <x:c r="K53" s="13" t="n">
        <x:v>0.886627860674725</x:v>
      </x:c>
      <x:c r="L53" s="13" t="n">
        <x:v>1.09695251137763</x:v>
      </x:c>
      <x:c r="M53" s="31" t="n">
        <x:v>0.0727540757694306</x:v>
      </x:c>
      <x:c r="N53" s="13" t="n">
        <x:v>8.77547336620342</x:v>
      </x:c>
      <x:c r="O53" s="32" t="n">
        <x:v>8.95937334704042</x:v>
      </x:c>
      <x:c r="P53" s="32" t="n">
        <x:v>14.7911603570075</x:v>
      </x:c>
    </x:row>
    <x:row r="54">
      <x:c r="A54" s="9" t="str">
        <x:v>Office Equipment &amp; Services</x:v>
      </x:c>
      <x:c r="B54" s="9" t="str">
        <x:v>Otros</x:v>
      </x:c>
      <x:c r="C54" s="9" t="str">
        <x:v>VE/EBITDA</x:v>
      </x:c>
      <x:c r="D54" s="10" t="n">
        <x:v>20</x:v>
      </x:c>
      <x:c r="E54" s="31" t="n">
        <x:v>0.55</x:v>
      </x:c>
      <x:c r="F54" s="13" t="n">
        <x:v>51.072178657186</x:v>
      </x:c>
      <x:c r="G54" s="13" t="n">
        <x:v>13.3447856629544</x:v>
      </x:c>
      <x:c r="H54" s="13" t="n">
        <x:v>11.9799842047872</x:v>
      </x:c>
      <x:c r="I54" s="13" t="n">
        <x:v>1.2996110677977</x:v>
      </x:c>
      <x:c r="J54" s="31" t="n">
        <x:v>0.072024958218299</x:v>
      </x:c>
      <x:c r="K54" s="13" t="n">
        <x:v>0.794755186812172</x:v>
      </x:c>
      <x:c r="L54" s="13" t="n">
        <x:v>0.937385115789431</x:v>
      </x:c>
      <x:c r="M54" s="31" t="n">
        <x:v>0.0820423698282018</x:v>
      </x:c>
      <x:c r="N54" s="13" t="n">
        <x:v>7.96345234731101</x:v>
      </x:c>
      <x:c r="O54" s="32" t="n">
        <x:v>9.06436496569798</x:v>
      </x:c>
      <x:c r="P54" s="32" t="n">
        <x:v>10.8518552999693</x:v>
      </x:c>
    </x:row>
    <x:row r="55">
      <x:c r="A55" s="9" t="str">
        <x:v>Oil/Gas (Integrated)</x:v>
      </x:c>
      <x:c r="B55" s="9" t="str">
        <x:v>Energía</x:v>
      </x:c>
      <x:c r="C55" s="9" t="str">
        <x:v>VE/EBITDA</x:v>
      </x:c>
      <x:c r="D55" s="10" t="n">
        <x:v>12</x:v>
      </x:c>
      <x:c r="E55" s="31" t="n">
        <x:v>0</x:v>
      </x:c>
      <x:c r="F55" s="13" t="n">
        <x:v>31.1469847758181</x:v>
      </x:c>
      <x:c r="G55" s="13" t="n">
        <x:v>17.0844861750314</x:v>
      </x:c>
      <x:c r="H55" s="13" t="n">
        <x:v>10.0991158616655</x:v>
      </x:c>
      <x:c r="I55" s="13" t="n">
        <x:v>2.14129135325794</x:v>
      </x:c>
      <x:c r="J55" s="31" t="n">
        <x:v>0.151965938984087</x:v>
      </x:c>
      <x:c r="K55" s="13" t="n">
        <x:v>1.49004801550324</x:v>
      </x:c>
      <x:c r="L55" s="13" t="n">
        <x:v>1.65653877100959</x:v>
      </x:c>
      <x:c r="M55" s="31" t="n">
        <x:v>0.213653602652935</x:v>
      </x:c>
      <x:c r="N55" s="13" t="n">
        <x:v>5.93890207897668</x:v>
      </x:c>
      <x:c r="O55" s="32" t="n">
        <x:v>5.65864359201464</x:v>
      </x:c>
      <x:c r="P55" s="32" t="n">
        <x:v>7.75338562252339</x:v>
      </x:c>
    </x:row>
    <x:row r="56">
      <x:c r="A56" s="9" t="str">
        <x:v>Oil/Gas (Production and Exploration)</x:v>
      </x:c>
      <x:c r="B56" s="9" t="str">
        <x:v>Energía</x:v>
      </x:c>
      <x:c r="C56" s="9" t="str">
        <x:v>VE/EBITDA</x:v>
      </x:c>
      <x:c r="D56" s="10" t="n">
        <x:v>83</x:v>
      </x:c>
      <x:c r="E56" s="31" t="n">
        <x:v>0.662650602409639</x:v>
      </x:c>
      <x:c r="F56" s="13" t="n">
        <x:v>11.823552581495</x:v>
      </x:c>
      <x:c r="G56" s="13" t="n">
        <x:v>25.617721905314</x:v>
      </x:c>
      <x:c r="H56" s="13" t="n">
        <x:v>9.82091706056274</x:v>
      </x:c>
      <x:c r="I56" s="13" t="n">
        <x:v>1.25549373050956</x:v>
      </x:c>
      <x:c r="J56" s="31" t="n">
        <x:v>-0.0587529329707638</x:v>
      </x:c>
      <x:c r="K56" s="13" t="n">
        <x:v>1.07901800666203</x:v>
      </x:c>
      <x:c r="L56" s="13" t="n">
        <x:v>1.77713630879032</x:v>
      </x:c>
      <x:c r="M56" s="31" t="n">
        <x:v>0.382126647771629</x:v>
      </x:c>
      <x:c r="N56" s="13" t="n">
        <x:v>2.65976055305878</x:v>
      </x:c>
      <x:c r="O56" s="32" t="n">
        <x:v>2.95137091654988</x:v>
      </x:c>
      <x:c r="P56" s="32" t="n">
        <x:v>4.54559330987415</x:v>
      </x:c>
    </x:row>
    <x:row r="57">
      <x:c r="A57" s="9" t="str">
        <x:v>Oil/Gas Distribution</x:v>
      </x:c>
      <x:c r="B57" s="9" t="str">
        <x:v>Energía</x:v>
      </x:c>
      <x:c r="C57" s="9" t="str">
        <x:v>VE/EBITDA</x:v>
      </x:c>
      <x:c r="D57" s="10" t="n">
        <x:v>30</x:v>
      </x:c>
      <x:c r="E57" s="31" t="n">
        <x:v>0.233333333333333</x:v>
      </x:c>
      <x:c r="F57" s="13" t="n">
        <x:v>22.5474011736658</x:v>
      </x:c>
      <x:c r="G57" s="13" t="n">
        <x:v>11.0000802128567</x:v>
      </x:c>
      <x:c r="H57" s="13" t="n">
        <x:v>9.42896903991178</x:v>
      </x:c>
      <x:c r="I57" s="13" t="n">
        <x:v>1.4709961206558</x:v>
      </x:c>
      <x:c r="J57" s="31" t="n">
        <x:v>0.139052694606654</x:v>
      </x:c>
      <x:c r="K57" s="13" t="n">
        <x:v>1.87840940382285</x:v>
      </x:c>
      <x:c r="L57" s="13" t="n">
        <x:v>2.93847801225826</x:v>
      </x:c>
      <x:c r="M57" s="31" t="n">
        <x:v>0.193879070255665</x:v>
      </x:c>
      <x:c r="N57" s="13" t="n">
        <x:v>9.50176360775991</x:v>
      </x:c>
      <x:c r="O57" s="32" t="n">
        <x:v>8.46876507104806</x:v>
      </x:c>
      <x:c r="P57" s="32" t="n">
        <x:v>15.1295358083431</x:v>
      </x:c>
    </x:row>
    <x:row r="58">
      <x:c r="A58" s="9" t="str">
        <x:v>Oilfield Svcs/Equip.</x:v>
      </x:c>
      <x:c r="B58" s="9" t="str">
        <x:v>Energía</x:v>
      </x:c>
      <x:c r="C58" s="9" t="str">
        <x:v>VE/EBITDA</x:v>
      </x:c>
      <x:c r="D58" s="10" t="n">
        <x:v>58</x:v>
      </x:c>
      <x:c r="E58" s="31" t="n">
        <x:v>0.396551724137931</x:v>
      </x:c>
      <x:c r="F58" s="13" t="n">
        <x:v>21.1478371983087</x:v>
      </x:c>
      <x:c r="G58" s="13" t="n">
        <x:v>13.5612214808761</x:v>
      </x:c>
      <x:c r="H58" s="13" t="n">
        <x:v>18.4037911466464</x:v>
      </x:c>
      <x:c r="I58" s="13" t="n">
        <x:v>1.1228031335179</x:v>
      </x:c>
      <x:c r="J58" s="31" t="n">
        <x:v>0.0595827973964537</x:v>
      </x:c>
      <x:c r="K58" s="13" t="n">
        <x:v>0.540480393949843</x:v>
      </x:c>
      <x:c r="L58" s="13" t="n">
        <x:v>0.647296473375824</x:v>
      </x:c>
      <x:c r="M58" s="31" t="n">
        <x:v>0.068747154745042</x:v>
      </x:c>
      <x:c r="N58" s="13" t="n">
        <x:v>5.69529312064116</x:v>
      </x:c>
      <x:c r="O58" s="32" t="n">
        <x:v>7.14882683496836</x:v>
      </x:c>
      <x:c r="P58" s="32" t="n">
        <x:v>9.12220845937574</x:v>
      </x:c>
    </x:row>
    <x:row r="59">
      <x:c r="A59" s="9" t="str">
        <x:v>Packaging &amp; Container</x:v>
      </x:c>
      <x:c r="B59" s="9" t="str">
        <x:v>Otros</x:v>
      </x:c>
      <x:c r="C59" s="9" t="str">
        <x:v>VE/EBITDA</x:v>
      </x:c>
      <x:c r="D59" s="10" t="n">
        <x:v>42</x:v>
      </x:c>
      <x:c r="E59" s="31" t="n">
        <x:v>0.452380952380952</x:v>
      </x:c>
      <x:c r="F59" s="13" t="n">
        <x:v>28.9956076522935</x:v>
      </x:c>
      <x:c r="G59" s="13" t="n">
        <x:v>28.2210330938692</x:v>
      </x:c>
      <x:c r="H59" s="13" t="n">
        <x:v>15.3669903587856</x:v>
      </x:c>
      <x:c r="I59" s="13" t="n">
        <x:v>1.38101152106846</x:v>
      </x:c>
      <x:c r="J59" s="31" t="n">
        <x:v>0.07124828608531</x:v>
      </x:c>
      <x:c r="K59" s="13" t="n">
        <x:v>0.810485068111898</x:v>
      </x:c>
      <x:c r="L59" s="13" t="n">
        <x:v>1.26887932485891</x:v>
      </x:c>
      <x:c r="M59" s="31" t="n">
        <x:v>0.0761781117142912</x:v>
      </x:c>
      <x:c r="N59" s="13" t="n">
        <x:v>8.34412310287331</x:v>
      </x:c>
      <x:c r="O59" s="32" t="n">
        <x:v>10.9523610528525</x:v>
      </x:c>
      <x:c r="P59" s="32" t="n">
        <x:v>16.6115436848459</x:v>
      </x:c>
    </x:row>
    <x:row r="60">
      <x:c r="A60" s="9" t="str">
        <x:v>Paper/Forest Products</x:v>
      </x:c>
      <x:c r="B60" s="9" t="str">
        <x:v>Otros</x:v>
      </x:c>
      <x:c r="C60" s="9" t="str">
        <x:v>VE/EBITDA</x:v>
      </x:c>
      <x:c r="D60" s="10" t="n">
        <x:v>36</x:v>
      </x:c>
      <x:c r="E60" s="31" t="n">
        <x:v>0.472222222222222</x:v>
      </x:c>
      <x:c r="F60" s="13" t="n">
        <x:v>154.378043077529</x:v>
      </x:c>
      <x:c r="G60" s="13" t="n">
        <x:v>32.1840678058842</x:v>
      </x:c>
      <x:c r="H60" s="13" t="n">
        <x:v>33.5789693035249</x:v>
      </x:c>
      <x:c r="I60" s="13" t="n">
        <x:v>0.974198809348009</x:v>
      </x:c>
      <x:c r="J60" s="31" t="n">
        <x:v>0.0278425754808389</x:v>
      </x:c>
      <x:c r="K60" s="13" t="n">
        <x:v>1.11827437203583</x:v>
      </x:c>
      <x:c r="L60" s="13" t="n">
        <x:v>1.46585775500899</x:v>
      </x:c>
      <x:c r="M60" s="31" t="n">
        <x:v>0.0621546470860794</x:v>
      </x:c>
      <x:c r="N60" s="13" t="n">
        <x:v>11.1261287524434</x:v>
      </x:c>
      <x:c r="O60" s="32" t="n">
        <x:v>10.5921737223373</x:v>
      </x:c>
      <x:c r="P60" s="32" t="n">
        <x:v>23.5138699528348</x:v>
      </x:c>
    </x:row>
    <x:row r="61">
      <x:c r="A61" s="9" t="str">
        <x:v>Power</x:v>
      </x:c>
      <x:c r="B61" s="9" t="str">
        <x:v>Energía</x:v>
      </x:c>
      <x:c r="C61" s="9" t="str">
        <x:v>VE/EBITDA</x:v>
      </x:c>
      <x:c r="D61" s="10" t="n">
        <x:v>69</x:v>
      </x:c>
      <x:c r="E61" s="31" t="n">
        <x:v>0.188405797101449</x:v>
      </x:c>
      <x:c r="F61" s="13" t="n">
        <x:v>22.0346675066992</x:v>
      </x:c>
      <x:c r="G61" s="13" t="n">
        <x:v>26.8792560153745</x:v>
      </x:c>
      <x:c r="H61" s="13" t="n">
        <x:v>14.1303927401473</x:v>
      </x:c>
      <x:c r="I61" s="13" t="n">
        <x:v>1.58722656334449</x:v>
      </x:c>
      <x:c r="J61" s="31" t="n">
        <x:v>0.102226270286992</x:v>
      </x:c>
      <x:c r="K61" s="13" t="n">
        <x:v>1.27651459285058</x:v>
      </x:c>
      <x:c r="L61" s="13" t="n">
        <x:v>1.91683698220319</x:v>
      </x:c>
      <x:c r="M61" s="31" t="n">
        <x:v>0.143901369630848</x:v>
      </x:c>
      <x:c r="N61" s="13" t="n">
        <x:v>8.82124753249995</x:v>
      </x:c>
      <x:c r="O61" s="32" t="n">
        <x:v>9.81193602230597</x:v>
      </x:c>
      <x:c r="P61" s="32" t="n">
        <x:v>13.3191218479565</x:v>
      </x:c>
    </x:row>
    <x:row r="62">
      <x:c r="A62" s="9" t="str">
        <x:v>Precious Metals</x:v>
      </x:c>
      <x:c r="B62" s="9" t="str">
        <x:v>Otros</x:v>
      </x:c>
      <x:c r="C62" s="9" t="str">
        <x:v>VE/EBITDA</x:v>
      </x:c>
      <x:c r="D62" s="10" t="n">
        <x:v>39</x:v>
      </x:c>
      <x:c r="E62" s="31" t="n">
        <x:v>0.717948717948718</x:v>
      </x:c>
      <x:c r="F62" s="13" t="n">
        <x:v>135.228153933123</x:v>
      </x:c>
      <x:c r="G62" s="13" t="n">
        <x:v>25.4700173775152</x:v>
      </x:c>
      <x:c r="H62" s="13" t="n">
        <x:v>11.3163707358353</x:v>
      </x:c>
      <x:c r="I62" s="13" t="n">
        <x:v>2.47633452616011</x:v>
      </x:c>
      <x:c r="J62" s="31" t="n">
        <x:v>0.0823919335534219</x:v>
      </x:c>
      <x:c r="K62" s="13" t="n">
        <x:v>3.03830322572765</x:v>
      </x:c>
      <x:c r="L62" s="13" t="n">
        <x:v>3.16668200704752</x:v>
      </x:c>
      <x:c r="M62" s="31" t="n">
        <x:v>0.208190363620888</x:v>
      </x:c>
      <x:c r="N62" s="13" t="n">
        <x:v>7.12920055103764</x:v>
      </x:c>
      <x:c r="O62" s="32" t="n">
        <x:v>10.9218419494041</x:v>
      </x:c>
      <x:c r="P62" s="32" t="n">
        <x:v>14.706182471835</x:v>
      </x:c>
    </x:row>
    <x:row r="63">
      <x:c r="A63" s="9" t="str">
        <x:v>Publishing &amp; Newspapers</x:v>
      </x:c>
      <x:c r="B63" s="9" t="str">
        <x:v>Medios y publicidad</x:v>
      </x:c>
      <x:c r="C63" s="9" t="str">
        <x:v>VE/EBITDA y VE/ventas</x:v>
      </x:c>
      <x:c r="D63" s="10" t="n">
        <x:v>59</x:v>
      </x:c>
      <x:c r="E63" s="31" t="n">
        <x:v>0.440677966101695</x:v>
      </x:c>
      <x:c r="F63" s="13" t="n">
        <x:v>37.6327712870119</x:v>
      </x:c>
      <x:c r="G63" s="13" t="n">
        <x:v>173.542739856025</x:v>
      </x:c>
      <x:c r="H63" s="13" t="n">
        <x:v>16.738006713033</x:v>
      </x:c>
      <x:c r="I63" s="13" t="n">
        <x:v>1.37210960448216</x:v>
      </x:c>
      <x:c r="J63" s="31" t="n">
        <x:v>0.0643832642335391</x:v>
      </x:c>
      <x:c r="K63" s="13" t="n">
        <x:v>0.578412151859288</x:v>
      </x:c>
      <x:c r="L63" s="13" t="n">
        <x:v>0.958265408171394</x:v>
      </x:c>
      <x:c r="M63" s="31" t="n">
        <x:v>0.0755150341909879</x:v>
      </x:c>
      <x:c r="N63" s="13" t="n">
        <x:v>7.52067879932945</x:v>
      </x:c>
      <x:c r="O63" s="32" t="n">
        <x:v>8.92536394320593</x:v>
      </x:c>
      <x:c r="P63" s="32" t="n">
        <x:v>12.405574211033</x:v>
      </x:c>
    </x:row>
    <x:row r="64">
      <x:c r="A64" s="9" t="str">
        <x:v>R.E.I.T.</x:v>
      </x:c>
      <x:c r="B64" s="9" t="str">
        <x:v>Otros</x:v>
      </x:c>
      <x:c r="C64" s="9" t="str">
        <x:v>VE/EBITDA</x:v>
      </x:c>
      <x:c r="D64" s="10" t="n">
        <x:v>138</x:v>
      </x:c>
      <x:c r="E64" s="31" t="n">
        <x:v>0.369565217391304</x:v>
      </x:c>
      <x:c r="F64" s="13" t="n">
        <x:v>31.7436846472033</x:v>
      </x:c>
      <x:c r="G64" s="13" t="n">
        <x:v>33.4856239752416</x:v>
      </x:c>
      <x:c r="H64" s="13" t="n">
        <x:v>19.5929724792507</x:v>
      </x:c>
      <x:c r="I64" s="13" t="n">
        <x:v>0.719764197353174</x:v>
      </x:c>
      <x:c r="J64" s="31" t="n">
        <x:v>0.0643095854674945</x:v>
      </x:c>
      <x:c r="K64" s="13" t="n">
        <x:v>6.01605438886733</x:v>
      </x:c>
      <x:c r="L64" s="13" t="n">
        <x:v>10.074830575251</x:v>
      </x:c>
      <x:c r="M64" s="31" t="n">
        <x:v>0.501533514747325</x:v>
      </x:c>
      <x:c r="N64" s="13" t="n">
        <x:v>18.8308942113707</x:v>
      </x:c>
      <x:c r="O64" s="32" t="n">
        <x:v>22.5995322619919</x:v>
      </x:c>
      <x:c r="P64" s="32" t="n">
        <x:v>19.1643359059192</x:v>
      </x:c>
    </x:row>
    <x:row r="65">
      <x:c r="A65" s="9" t="str">
        <x:v>Real Estate (Development)</x:v>
      </x:c>
      <x:c r="B65" s="9" t="str">
        <x:v>Inmobiliario</x:v>
      </x:c>
      <x:c r="C65" s="9" t="str">
        <x:v>VE/EBITDA y P/VC</x:v>
      </x:c>
      <x:c r="D65" s="10" t="n">
        <x:v>61</x:v>
      </x:c>
      <x:c r="E65" s="31" t="n">
        <x:v>0.459016393442623</x:v>
      </x:c>
      <x:c r="F65" s="13" t="n">
        <x:v>46.8941004453145</x:v>
      </x:c>
      <x:c r="G65" s="13" t="n">
        <x:v>60.6853939934641</x:v>
      </x:c>
      <x:c r="H65" s="13" t="n">
        <x:v>12.1660022816445</x:v>
      </x:c>
      <x:c r="I65" s="13" t="n">
        <x:v>0.915150760426613</x:v>
      </x:c>
      <x:c r="J65" s="31" t="n">
        <x:v>0.0254626264432627</x:v>
      </x:c>
      <x:c r="K65" s="13" t="n">
        <x:v>0.881646029820424</x:v>
      </x:c>
      <x:c r="L65" s="13" t="n">
        <x:v>1.35504726105633</x:v>
      </x:c>
      <x:c r="M65" s="31" t="n">
        <x:v>0.0533974490607685</x:v>
      </x:c>
      <x:c r="N65" s="13" t="n">
        <x:v>13.0070754633503</x:v>
      </x:c>
      <x:c r="O65" s="32" t="n">
        <x:v>29.9165573147935</x:v>
      </x:c>
      <x:c r="P65" s="32" t="n">
        <x:v>16.5523008889481</x:v>
      </x:c>
    </x:row>
    <x:row r="66">
      <x:c r="A66" s="9" t="str">
        <x:v>Real Estate (General/Diversified)</x:v>
      </x:c>
      <x:c r="B66" s="9" t="str">
        <x:v>Inmobiliario</x:v>
      </x:c>
      <x:c r="C66" s="9" t="str">
        <x:v>VE/EBITDA y P/VC</x:v>
      </x:c>
      <x:c r="D66" s="10" t="n">
        <x:v>45</x:v>
      </x:c>
      <x:c r="E66" s="31" t="n">
        <x:v>0.355555555555556</x:v>
      </x:c>
      <x:c r="F66" s="13" t="n">
        <x:v>21.1507662445989</x:v>
      </x:c>
      <x:c r="G66" s="13" t="n">
        <x:v>16.8983377059255</x:v>
      </x:c>
      <x:c r="H66" s="13" t="n">
        <x:v>20.5889783741494</x:v>
      </x:c>
      <x:c r="I66" s="13" t="n">
        <x:v>0.900075260168618</x:v>
      </x:c>
      <x:c r="J66" s="31" t="n">
        <x:v>0.0680279192831337</x:v>
      </x:c>
      <x:c r="K66" s="13" t="n">
        <x:v>4.37603168138949</x:v>
      </x:c>
      <x:c r="L66" s="13" t="n">
        <x:v>8.14973411146442</x:v>
      </x:c>
      <x:c r="M66" s="31" t="n">
        <x:v>0.133435513108199</x:v>
      </x:c>
      <x:c r="N66" s="13" t="n">
        <x:v>24.1114503590312</x:v>
      </x:c>
      <x:c r="O66" s="32" t="n">
        <x:v>41.4198780157901</x:v>
      </x:c>
      <x:c r="P66" s="32" t="n">
        <x:v>50.8636113096802</x:v>
      </x:c>
    </x:row>
    <x:row r="67">
      <x:c r="A67" s="9" t="str">
        <x:v>Real Estate (Operations &amp; Services)</x:v>
      </x:c>
      <x:c r="B67" s="9" t="str">
        <x:v>Inmobiliario</x:v>
      </x:c>
      <x:c r="C67" s="9" t="str">
        <x:v>VE/EBITDA y P/VC</x:v>
      </x:c>
      <x:c r="D67" s="10" t="n">
        <x:v>219</x:v>
      </x:c>
      <x:c r="E67" s="31" t="n">
        <x:v>0.287671232876712</x:v>
      </x:c>
      <x:c r="F67" s="13" t="n">
        <x:v>94.5212997149354</x:v>
      </x:c>
      <x:c r="G67" s="13" t="n">
        <x:v>71.133750945403</x:v>
      </x:c>
      <x:c r="H67" s="13" t="n">
        <x:v>18.2912094051032</x:v>
      </x:c>
      <x:c r="I67" s="13" t="n">
        <x:v>0.843742131258863</x:v>
      </x:c>
      <x:c r="J67" s="31" t="n">
        <x:v>0.0719021562973943</x:v>
      </x:c>
      <x:c r="K67" s="13" t="n">
        <x:v>4.52377293258563</x:v>
      </x:c>
      <x:c r="L67" s="13" t="n">
        <x:v>10.4613191013536</x:v>
      </x:c>
      <x:c r="M67" s="31" t="n">
        <x:v>0.376401806067912</x:v>
      </x:c>
      <x:c r="N67" s="13" t="n">
        <x:v>24.5499532238735</x:v>
      </x:c>
      <x:c r="O67" s="32" t="n">
        <x:v>31.4180183490012</x:v>
      </x:c>
      <x:c r="P67" s="32" t="n">
        <x:v>25.9365420399477</x:v>
      </x:c>
    </x:row>
    <x:row r="68">
      <x:c r="A68" s="9" t="str">
        <x:v>Recreation</x:v>
      </x:c>
      <x:c r="B68" s="9" t="str">
        <x:v>Turismo y ocio</x:v>
      </x:c>
      <x:c r="C68" s="9" t="str">
        <x:v>VE/EBITDA</x:v>
      </x:c>
      <x:c r="D68" s="10" t="n">
        <x:v>59</x:v>
      </x:c>
      <x:c r="E68" s="31" t="n">
        <x:v>0.389830508474576</x:v>
      </x:c>
      <x:c r="F68" s="13" t="n">
        <x:v>56.3155889248074</x:v>
      </x:c>
      <x:c r="G68" s="13" t="n">
        <x:v>33.0439706505178</x:v>
      </x:c>
      <x:c r="H68" s="13" t="n">
        <x:v>21.1361127569092</x:v>
      </x:c>
      <x:c r="I68" s="13" t="n">
        <x:v>3.3384123287512</x:v>
      </x:c>
      <x:c r="J68" s="31" t="n">
        <x:v>0.156615754409654</x:v>
      </x:c>
      <x:c r="K68" s="13" t="n">
        <x:v>1.94884102749958</x:v>
      </x:c>
      <x:c r="L68" s="13" t="n">
        <x:v>2.33886297402298</x:v>
      </x:c>
      <x:c r="M68" s="31" t="n">
        <x:v>0.116705146454141</x:v>
      </x:c>
      <x:c r="N68" s="13" t="n">
        <x:v>13.5197947325565</x:v>
      </x:c>
      <x:c r="O68" s="32" t="n">
        <x:v>14.3123582025095</x:v>
      </x:c>
      <x:c r="P68" s="32" t="n">
        <x:v>19.9224669396071</x:v>
      </x:c>
    </x:row>
    <x:row r="69">
      <x:c r="A69" s="9" t="str">
        <x:v>Reinsurance</x:v>
      </x:c>
      <x:c r="B69" s="9" t="str">
        <x:v>Financiero</x:v>
      </x:c>
      <x:c r="C69" s="9" t="str">
        <x:v>P/VC y PER</x:v>
      </x:c>
      <x:c r="D69" s="10" t="n">
        <x:v>4</x:v>
      </x:c>
      <x:c r="E69" s="31" t="n">
        <x:v>0</x:v>
      </x:c>
      <x:c r="F69" s="13" t="n">
        <x:v>372.777373320022</x:v>
      </x:c>
      <x:c r="G69" s="13" t="n">
        <x:v>10.0333334475714</x:v>
      </x:c>
      <x:c r="H69" s="13" t="n">
        <x:v>10.4115798074732</x:v>
      </x:c>
      <x:c r="I69" s="13" t="n">
        <x:v>2.07482250200335</x:v>
      </x:c>
      <x:c r="J69" s="31" t="n">
        <x:v>0.217633011366668</x:v>
      </x:c>
      <x:c r="K69" s="13" t="n">
        <x:v>1.05444739294852</x:v>
      </x:c>
      <x:c r="L69" s="13" t="n">
        <x:v>1.12301020499029</x:v>
      </x:c>
      <x:c r="M69" s="31" t="n">
        <x:v>0.143212405088841</x:v>
      </x:c>
      <x:c r="N69" s="13" t="n">
        <x:v>7.60605880385087</x:v>
      </x:c>
      <x:c r="O69" s="32" t="n">
        <x:v>24.9848374783723</x:v>
      </x:c>
      <x:c r="P69" s="32" t="n">
        <x:v>4.24117776294681</x:v>
      </x:c>
    </x:row>
    <x:row r="70">
      <x:c r="A70" s="9" t="str">
        <x:v>Restaurant/Dining</x:v>
      </x:c>
      <x:c r="B70" s="9" t="str">
        <x:v>Turismo y ocio</x:v>
      </x:c>
      <x:c r="C70" s="9" t="str">
        <x:v>VE/EBITDA</x:v>
      </x:c>
      <x:c r="D70" s="10" t="n">
        <x:v>38</x:v>
      </x:c>
      <x:c r="E70" s="31" t="n">
        <x:v>0.421052631578947</x:v>
      </x:c>
      <x:c r="F70" s="13" t="n">
        <x:v>94.4698621449278</x:v>
      </x:c>
      <x:c r="G70" s="13" t="n">
        <x:v>121.467156535734</x:v>
      </x:c>
      <x:c r="H70" s="13" t="n">
        <x:v>14.5507071090978</x:v>
      </x:c>
      <x:c r="I70" s="13" t="n">
        <x:v>3.29578903280027</x:v>
      </x:c>
      <x:c r="J70" s="31" t="n">
        <x:v>0.131186979913075</x:v>
      </x:c>
      <x:c r="K70" s="13" t="n">
        <x:v>0.69439224308285</x:v>
      </x:c>
      <x:c r="L70" s="13" t="n">
        <x:v>0.90042807890718</x:v>
      </x:c>
      <x:c r="M70" s="31" t="n">
        <x:v>0.0555567667709547</x:v>
      </x:c>
      <x:c r="N70" s="13" t="n">
        <x:v>12.1496720801535</x:v>
      </x:c>
      <x:c r="O70" s="32" t="n">
        <x:v>13.0069011356961</x:v>
      </x:c>
      <x:c r="P70" s="32" t="n">
        <x:v>16.1670011148009</x:v>
      </x:c>
    </x:row>
    <x:row r="71">
      <x:c r="A71" s="9" t="str">
        <x:v>Retail (Automotive)</x:v>
      </x:c>
      <x:c r="B71" s="9" t="str">
        <x:v>Consumo</x:v>
      </x:c>
      <x:c r="C71" s="9" t="str">
        <x:v>VE/EBITDA y VE/ventas</x:v>
      </x:c>
      <x:c r="D71" s="10" t="n">
        <x:v>22</x:v>
      </x:c>
      <x:c r="E71" s="31" t="n">
        <x:v>0.454545454545455</x:v>
      </x:c>
      <x:c r="F71" s="13" t="n">
        <x:v>37.4476385819059</x:v>
      </x:c>
      <x:c r="G71" s="13" t="n">
        <x:v>18.6603500546306</x:v>
      </x:c>
      <x:c r="H71" s="13" t="n">
        <x:v>14.7564918589386</x:v>
      </x:c>
      <x:c r="I71" s="13" t="n">
        <x:v>1.71617466174662</x:v>
      </x:c>
      <x:c r="J71" s="31" t="n">
        <x:v>0.063298078950581</x:v>
      </x:c>
      <x:c r="K71" s="13" t="n">
        <x:v>0.35489142964271</x:v>
      </x:c>
      <x:c r="L71" s="13" t="n">
        <x:v>0.454921106018608</x:v>
      </x:c>
      <x:c r="M71" s="31" t="n">
        <x:v>0.0244536247684967</x:v>
      </x:c>
      <x:c r="N71" s="13" t="n">
        <x:v>12.3553956773024</x:v>
      </x:c>
      <x:c r="O71" s="32" t="n">
        <x:v>13.2127567719593</x:v>
      </x:c>
      <x:c r="P71" s="32" t="n">
        <x:v>17.9662169638618</x:v>
      </x:c>
    </x:row>
    <x:row r="72">
      <x:c r="A72" s="9" t="str">
        <x:v>Retail (Building Supply)</x:v>
      </x:c>
      <x:c r="B72" s="9" t="str">
        <x:v>Consumo</x:v>
      </x:c>
      <x:c r="C72" s="9" t="str">
        <x:v>VE/EBITDA y VE/ventas</x:v>
      </x:c>
      <x:c r="D72" s="10" t="n">
        <x:v>26</x:v>
      </x:c>
      <x:c r="E72" s="31" t="n">
        <x:v>0.153846153846154</x:v>
      </x:c>
      <x:c r="F72" s="13" t="n">
        <x:v>22.3104068394241</x:v>
      </x:c>
      <x:c r="G72" s="13" t="n">
        <x:v>25.9211301637075</x:v>
      </x:c>
      <x:c r="H72" s="13" t="n">
        <x:v>13.6060347507326</x:v>
      </x:c>
      <x:c r="I72" s="13" t="n">
        <x:v>1.26270789278162</x:v>
      </x:c>
      <x:c r="J72" s="31" t="n">
        <x:v>0.0473277555992211</x:v>
      </x:c>
      <x:c r="K72" s="13" t="n">
        <x:v>0.45728336393121</x:v>
      </x:c>
      <x:c r="L72" s="13" t="n">
        <x:v>0.693429873286725</x:v>
      </x:c>
      <x:c r="M72" s="31" t="n">
        <x:v>0.0547215455900321</x:v>
      </x:c>
      <x:c r="N72" s="13" t="n">
        <x:v>9.27899394616651</x:v>
      </x:c>
      <x:c r="O72" s="32" t="n">
        <x:v>11.3619158835086</x:v>
      </x:c>
      <x:c r="P72" s="32" t="n">
        <x:v>12.3241287370636</x:v>
      </x:c>
    </x:row>
    <x:row r="73">
      <x:c r="A73" s="9" t="str">
        <x:v>Retail (Distributors)</x:v>
      </x:c>
      <x:c r="B73" s="9" t="str">
        <x:v>Consumo</x:v>
      </x:c>
      <x:c r="C73" s="9" t="str">
        <x:v>VE/EBITDA y VE/ventas</x:v>
      </x:c>
      <x:c r="D73" s="10" t="n">
        <x:v>117</x:v>
      </x:c>
      <x:c r="E73" s="31" t="n">
        <x:v>0.367521367521368</x:v>
      </x:c>
      <x:c r="F73" s="13" t="n">
        <x:v>29.9790406874062</x:v>
      </x:c>
      <x:c r="G73" s="13" t="n">
        <x:v>32.5138804625972</x:v>
      </x:c>
      <x:c r="H73" s="13" t="n">
        <x:v>15.6272868217061</x:v>
      </x:c>
      <x:c r="I73" s="13" t="n">
        <x:v>2.26124642371612</x:v>
      </x:c>
      <x:c r="J73" s="31" t="n">
        <x:v>0.136354460676852</x:v>
      </x:c>
      <x:c r="K73" s="13" t="n">
        <x:v>0.857700831223186</x:v>
      </x:c>
      <x:c r="L73" s="13" t="n">
        <x:v>1.29760047264218</x:v>
      </x:c>
      <x:c r="M73" s="31" t="n">
        <x:v>0.0849051908916816</x:v>
      </x:c>
      <x:c r="N73" s="13" t="n">
        <x:v>11.636208179205</x:v>
      </x:c>
      <x:c r="O73" s="32" t="n">
        <x:v>12.7350385645987</x:v>
      </x:c>
      <x:c r="P73" s="32" t="n">
        <x:v>15.2040992023067</x:v>
      </x:c>
    </x:row>
    <x:row r="74">
      <x:c r="A74" s="9" t="str">
        <x:v>Retail (General)</x:v>
      </x:c>
      <x:c r="B74" s="9" t="str">
        <x:v>Consumo</x:v>
      </x:c>
      <x:c r="C74" s="9" t="str">
        <x:v>VE/EBITDA y VE/ventas</x:v>
      </x:c>
      <x:c r="D74" s="10" t="n">
        <x:v>31</x:v>
      </x:c>
      <x:c r="E74" s="31" t="n">
        <x:v>0.419354838709677</x:v>
      </x:c>
      <x:c r="F74" s="13" t="n">
        <x:v>21.2014818365474</x:v>
      </x:c>
      <x:c r="G74" s="13" t="n">
        <x:v>18.4395898286694</x:v>
      </x:c>
      <x:c r="H74" s="13" t="n">
        <x:v>18.5893371111794</x:v>
      </x:c>
      <x:c r="I74" s="13" t="n">
        <x:v>2.55472691224735</x:v>
      </x:c>
      <x:c r="J74" s="31" t="n">
        <x:v>0.232564801158271</x:v>
      </x:c>
      <x:c r="K74" s="13" t="n">
        <x:v>1.27506630630256</x:v>
      </x:c>
      <x:c r="L74" s="13" t="n">
        <x:v>1.49072622207596</x:v>
      </x:c>
      <x:c r="M74" s="31" t="n">
        <x:v>0.0431452678076583</x:v>
      </x:c>
      <x:c r="N74" s="13" t="n">
        <x:v>23.6415366938554</x:v>
      </x:c>
      <x:c r="O74" s="32" t="n">
        <x:v>27.0037914521423</x:v>
      </x:c>
      <x:c r="P74" s="32" t="n">
        <x:v>34.1662324244114</x:v>
      </x:c>
    </x:row>
    <x:row r="75">
      <x:c r="A75" s="9" t="str">
        <x:v>Retail (Grocery and Food)</x:v>
      </x:c>
      <x:c r="B75" s="9" t="str">
        <x:v>Consumo</x:v>
      </x:c>
      <x:c r="C75" s="9" t="str">
        <x:v>VE/EBITDA y VE/ventas</x:v>
      </x:c>
      <x:c r="D75" s="10" t="n">
        <x:v>34</x:v>
      </x:c>
      <x:c r="E75" s="31" t="n">
        <x:v>0.264705882352941</x:v>
      </x:c>
      <x:c r="F75" s="13" t="n">
        <x:v>72.4541651555372</x:v>
      </x:c>
      <x:c r="G75" s="13" t="n">
        <x:v>46.2443510027</x:v>
      </x:c>
      <x:c r="H75" s="13" t="n">
        <x:v>17.4570327899172</x:v>
      </x:c>
      <x:c r="I75" s="13" t="n">
        <x:v>2.22162992119095</x:v>
      </x:c>
      <x:c r="J75" s="31" t="n">
        <x:v>0.111802155392591</x:v>
      </x:c>
      <x:c r="K75" s="13" t="n">
        <x:v>0.381026263995167</x:v>
      </x:c>
      <x:c r="L75" s="13" t="n">
        <x:v>0.544843877986637</x:v>
      </x:c>
      <x:c r="M75" s="31" t="n">
        <x:v>0.0354605393233353</x:v>
      </x:c>
      <x:c r="N75" s="13" t="n">
        <x:v>9.73203774296236</x:v>
      </x:c>
      <x:c r="O75" s="32" t="n">
        <x:v>11.1750583523708</x:v>
      </x:c>
      <x:c r="P75" s="32" t="n">
        <x:v>15.312662332901</x:v>
      </x:c>
    </x:row>
    <x:row r="76">
      <x:c r="A76" s="9" t="str">
        <x:v>Retail (REITs)</x:v>
      </x:c>
      <x:c r="B76" s="9" t="str">
        <x:v>Inmobiliario</x:v>
      </x:c>
      <x:c r="C76" s="9" t="str">
        <x:v>VE/EBITDA y P/VC</x:v>
      </x:c>
      <x:c r="D76" s="10" t="n">
        <x:v>28</x:v>
      </x:c>
      <x:c r="E76" s="31" t="n">
        <x:v>0.107142857142857</x:v>
      </x:c>
      <x:c r="F76" s="13" t="n">
        <x:v>19.2492625850661</x:v>
      </x:c>
      <x:c r="G76" s="13" t="n">
        <x:v>20.611509619289</x:v>
      </x:c>
      <x:c r="H76" s="13" t="n">
        <x:v>11.9176133914453</x:v>
      </x:c>
      <x:c r="I76" s="13" t="n">
        <x:v>0.795610220574927</x:v>
      </x:c>
      <x:c r="J76" s="31" t="n">
        <x:v>0.0775704549570931</x:v>
      </x:c>
      <x:c r="K76" s="13" t="n">
        <x:v>5.02457926801511</x:v>
      </x:c>
      <x:c r="L76" s="13" t="n">
        <x:v>10.0479761389567</x:v>
      </x:c>
      <x:c r="M76" s="31" t="n">
        <x:v>0.613523437920874</x:v>
      </x:c>
      <x:c r="N76" s="13" t="n">
        <x:v>15.5933957966727</x:v>
      </x:c>
      <x:c r="O76" s="32" t="n">
        <x:v>19.4123040514876</x:v>
      </x:c>
      <x:c r="P76" s="32" t="n">
        <x:v>15.9106693782159</x:v>
      </x:c>
    </x:row>
    <x:row r="77">
      <x:c r="A77" s="9" t="str">
        <x:v>Retail (Special Lines)</x:v>
      </x:c>
      <x:c r="B77" s="9" t="str">
        <x:v>Consumo</x:v>
      </x:c>
      <x:c r="C77" s="9" t="str">
        <x:v>VE/EBITDA y VE/ventas</x:v>
      </x:c>
      <x:c r="D77" s="10" t="n">
        <x:v>105</x:v>
      </x:c>
      <x:c r="E77" s="31" t="n">
        <x:v>0.457142857142857</x:v>
      </x:c>
      <x:c r="F77" s="13" t="n">
        <x:v>65.8027439639585</x:v>
      </x:c>
      <x:c r="G77" s="13" t="n">
        <x:v>34.8509248680049</x:v>
      </x:c>
      <x:c r="H77" s="13" t="n">
        <x:v>22.7872641643096</x:v>
      </x:c>
      <x:c r="I77" s="13" t="n">
        <x:v>5.06108229376531</x:v>
      </x:c>
      <x:c r="J77" s="31" t="n">
        <x:v>0.192322390914414</x:v>
      </x:c>
      <x:c r="K77" s="13" t="n">
        <x:v>1.33684991630025</x:v>
      </x:c>
      <x:c r="L77" s="13" t="n">
        <x:v>1.51826238405366</x:v>
      </x:c>
      <x:c r="M77" s="31" t="n">
        <x:v>0.0794151316453562</x:v>
      </x:c>
      <x:c r="N77" s="13" t="n">
        <x:v>14.0634266433686</x:v>
      </x:c>
      <x:c r="O77" s="32" t="n">
        <x:v>16.7243942715873</x:v>
      </x:c>
      <x:c r="P77" s="32" t="n">
        <x:v>18.7683693128565</x:v>
      </x:c>
    </x:row>
    <x:row r="78">
      <x:c r="A78" s="9" t="str">
        <x:v>Rubber&amp; Tires</x:v>
      </x:c>
      <x:c r="B78" s="9" t="str">
        <x:v>Otros</x:v>
      </x:c>
      <x:c r="C78" s="9" t="str">
        <x:v>VE/EBITDA</x:v>
      </x:c>
      <x:c r="D78" s="10" t="n">
        <x:v>10</x:v>
      </x:c>
      <x:c r="E78" s="31" t="n">
        <x:v>0.4</x:v>
      </x:c>
      <x:c r="F78" s="13" t="n">
        <x:v>21.740370673303</x:v>
      </x:c>
      <x:c r="G78" s="13" t="n">
        <x:v>19.9182927693355</x:v>
      </x:c>
      <x:c r="H78" s="13" t="n">
        <x:v>12.075262207113</x:v>
      </x:c>
      <x:c r="I78" s="13" t="n">
        <x:v>1.36708981739678</x:v>
      </x:c>
      <x:c r="J78" s="31" t="n">
        <x:v>0.0604977092448415</x:v>
      </x:c>
      <x:c r="K78" s="13" t="n">
        <x:v>0.534633307646052</x:v>
      </x:c>
      <x:c r="L78" s="13" t="n">
        <x:v>0.729112546396717</x:v>
      </x:c>
      <x:c r="M78" s="31" t="n">
        <x:v>0.0646869563555813</x:v>
      </x:c>
      <x:c r="N78" s="13" t="n">
        <x:v>6.0573893338416</x:v>
      </x:c>
      <x:c r="O78" s="32" t="n">
        <x:v>5.98750515672958</x:v>
      </x:c>
      <x:c r="P78" s="32" t="n">
        <x:v>11.2713997917728</x:v>
      </x:c>
    </x:row>
    <x:row r="79">
      <x:c r="A79" s="9" t="str">
        <x:v>Semiconductor</x:v>
      </x:c>
      <x:c r="B79" s="9" t="str">
        <x:v>Otros</x:v>
      </x:c>
      <x:c r="C79" s="9" t="str">
        <x:v>VE/EBITDA</x:v>
      </x:c>
      <x:c r="D79" s="10" t="n">
        <x:v>36</x:v>
      </x:c>
      <x:c r="E79" s="31" t="n">
        <x:v>0.694444444444444</x:v>
      </x:c>
      <x:c r="F79" s="13" t="n">
        <x:v>26.512539746702</x:v>
      </x:c>
      <x:c r="G79" s="13" t="n">
        <x:v>59.514782234411</x:v>
      </x:c>
      <x:c r="H79" s="13" t="n">
        <x:v>56.1278350962347</x:v>
      </x:c>
      <x:c r="I79" s="13" t="n">
        <x:v>2.73642926336884</x:v>
      </x:c>
      <x:c r="J79" s="31" t="n">
        <x:v>0.0729840791725772</x:v>
      </x:c>
      <x:c r="K79" s="13" t="n">
        <x:v>3.03074778364783</x:v>
      </x:c>
      <x:c r="L79" s="13" t="n">
        <x:v>3.43269746270884</x:v>
      </x:c>
      <x:c r="M79" s="31" t="n">
        <x:v>0.143986436802779</x:v>
      </x:c>
      <x:c r="N79" s="13" t="n">
        <x:v>13.5109100300174</x:v>
      </x:c>
      <x:c r="O79" s="32" t="n">
        <x:v>12.3136552476117</x:v>
      </x:c>
      <x:c r="P79" s="32" t="n">
        <x:v>22.9928980373747</x:v>
      </x:c>
    </x:row>
    <x:row r="80">
      <x:c r="A80" s="9" t="str">
        <x:v>Semiconductor Equip</x:v>
      </x:c>
      <x:c r="B80" s="9" t="str">
        <x:v>Otros</x:v>
      </x:c>
      <x:c r="C80" s="9" t="str">
        <x:v>VE/EBITDA</x:v>
      </x:c>
      <x:c r="D80" s="10" t="n">
        <x:v>21</x:v>
      </x:c>
      <x:c r="E80" s="31" t="n">
        <x:v>0.523809523809524</x:v>
      </x:c>
      <x:c r="F80" s="13" t="n">
        <x:v>42.141817690663</x:v>
      </x:c>
      <x:c r="G80" s="13" t="n">
        <x:v>46.5308079049333</x:v>
      </x:c>
      <x:c r="H80" s="13" t="n">
        <x:v>34.016069137934</x:v>
      </x:c>
      <x:c r="I80" s="13" t="n">
        <x:v>13.9557782473026</x:v>
      </x:c>
      <x:c r="J80" s="31" t="n">
        <x:v>0.410671701508736</x:v>
      </x:c>
      <x:c r="K80" s="13" t="n">
        <x:v>10.076024073152</x:v>
      </x:c>
      <x:c r="L80" s="13" t="n">
        <x:v>10.0210095897079</x:v>
      </x:c>
      <x:c r="M80" s="31" t="n">
        <x:v>0.317220943588657</x:v>
      </x:c>
      <x:c r="N80" s="13" t="n">
        <x:v>27.9332604174691</x:v>
      </x:c>
      <x:c r="O80" s="32" t="n">
        <x:v>38.4400857491404</x:v>
      </x:c>
      <x:c r="P80" s="32" t="n">
        <x:v>31.5400525562118</x:v>
      </x:c>
    </x:row>
    <x:row r="81">
      <x:c r="A81" s="9" t="str">
        <x:v>Shipbuilding &amp; Marine</x:v>
      </x:c>
      <x:c r="B81" s="9" t="str">
        <x:v>Otros</x:v>
      </x:c>
      <x:c r="C81" s="9" t="str">
        <x:v>VE/EBITDA</x:v>
      </x:c>
      <x:c r="D81" s="10" t="n">
        <x:v>65</x:v>
      </x:c>
      <x:c r="E81" s="31" t="n">
        <x:v>0.353846153846154</x:v>
      </x:c>
      <x:c r="F81" s="13" t="n">
        <x:v>11.4526357858063</x:v>
      </x:c>
      <x:c r="G81" s="13" t="n">
        <x:v>16.165765662619</x:v>
      </x:c>
      <x:c r="H81" s="13" t="n">
        <x:v>8.24724594866139</x:v>
      </x:c>
      <x:c r="I81" s="13" t="n">
        <x:v>0.981446452387351</x:v>
      </x:c>
      <x:c r="J81" s="31" t="n">
        <x:v>0.113319192145821</x:v>
      </x:c>
      <x:c r="K81" s="13" t="n">
        <x:v>0.791441256600007</x:v>
      </x:c>
      <x:c r="L81" s="13" t="n">
        <x:v>1.02607277391289</x:v>
      </x:c>
      <x:c r="M81" s="31" t="n">
        <x:v>0.0992446276855608</x:v>
      </x:c>
      <x:c r="N81" s="13" t="n">
        <x:v>6.65328695878822</x:v>
      </x:c>
      <x:c r="O81" s="32" t="n">
        <x:v>6.40808655944141</x:v>
      </x:c>
      <x:c r="P81" s="32" t="n">
        <x:v>10.2844956579205</x:v>
      </x:c>
    </x:row>
    <x:row r="82">
      <x:c r="A82" s="9" t="str">
        <x:v>Shoe</x:v>
      </x:c>
      <x:c r="B82" s="9" t="str">
        <x:v>Otros</x:v>
      </x:c>
      <x:c r="C82" s="9" t="str">
        <x:v>VE/EBITDA</x:v>
      </x:c>
      <x:c r="D82" s="10" t="n">
        <x:v>9</x:v>
      </x:c>
      <x:c r="E82" s="31" t="n">
        <x:v>0.555555555555556</x:v>
      </x:c>
      <x:c r="F82" s="13" t="n">
        <x:v>54.0267472339541</x:v>
      </x:c>
      <x:c r="G82" s="13" t="n">
        <x:v>32.961695884203</x:v>
      </x:c>
      <x:c r="H82" s="13" t="n">
        <x:v>20.7068416384454</x:v>
      </x:c>
      <x:c r="I82" s="13" t="n">
        <x:v>3.45792989900411</x:v>
      </x:c>
      <x:c r="J82" s="31" t="n">
        <x:v>0.0443949457211424</x:v>
      </x:c>
      <x:c r="K82" s="13" t="n">
        <x:v>1.58993801917876</x:v>
      </x:c>
      <x:c r="L82" s="13" t="n">
        <x:v>1.83351503763961</x:v>
      </x:c>
      <x:c r="M82" s="31" t="n">
        <x:v>0.0804834763174549</x:v>
      </x:c>
      <x:c r="N82" s="13" t="n">
        <x:v>18.1774702020428</x:v>
      </x:c>
      <x:c r="O82" s="32" t="n">
        <x:v>16.8527395791119</x:v>
      </x:c>
      <x:c r="P82" s="32" t="n">
        <x:v>22.746349744149</x:v>
      </x:c>
    </x:row>
    <x:row r="83">
      <x:c r="A83" s="9" t="str">
        <x:v>Software (Entertainment)</x:v>
      </x:c>
      <x:c r="B83" s="9" t="str">
        <x:v>Medios y publicidad</x:v>
      </x:c>
      <x:c r="C83" s="9" t="str">
        <x:v>VE/EBITDA y VE/ventas</x:v>
      </x:c>
      <x:c r="D83" s="10" t="n">
        <x:v>51</x:v>
      </x:c>
      <x:c r="E83" s="31" t="n">
        <x:v>0.607843137254902</x:v>
      </x:c>
      <x:c r="F83" s="13" t="n">
        <x:v>43.9328179149941</x:v>
      </x:c>
      <x:c r="G83" s="13" t="n">
        <x:v>158.035812092484</x:v>
      </x:c>
      <x:c r="H83" s="13" t="n">
        <x:v>29.8221885307824</x:v>
      </x:c>
      <x:c r="I83" s="13" t="n">
        <x:v>4.42298832510025</x:v>
      </x:c>
      <x:c r="J83" s="31" t="n">
        <x:v>0.154162669156735</x:v>
      </x:c>
      <x:c r="K83" s="13" t="n">
        <x:v>5.06999326020844</x:v>
      </x:c>
      <x:c r="L83" s="13" t="n">
        <x:v>5.41416432440778</x:v>
      </x:c>
      <x:c r="M83" s="31" t="n">
        <x:v>0.252138256845352</x:v>
      </x:c>
      <x:c r="N83" s="13" t="n">
        <x:v>17.6396022628498</x:v>
      </x:c>
      <x:c r="O83" s="32" t="n">
        <x:v>21.7856734079195</x:v>
      </x:c>
      <x:c r="P83" s="32" t="n">
        <x:v>21.0672603966803</x:v>
      </x:c>
    </x:row>
    <x:row r="84">
      <x:c r="A84" s="9" t="str">
        <x:v>Software (Internet)</x:v>
      </x:c>
      <x:c r="B84" s="9" t="str">
        <x:v>Software y datos</x:v>
      </x:c>
      <x:c r="C84" s="9" t="str">
        <x:v>VE/ventas y VE/EBITDA</x:v>
      </x:c>
      <x:c r="D84" s="10" t="n">
        <x:v>23</x:v>
      </x:c>
      <x:c r="E84" s="31" t="n">
        <x:v>0.521739130434783</x:v>
      </x:c>
      <x:c r="F84" s="13" t="n">
        <x:v>243.580759532917</x:v>
      </x:c>
      <x:c r="G84" s="13" t="n">
        <x:v>279.041382152748</x:v>
      </x:c>
      <x:c r="H84" s="13" t="n">
        <x:v>25.8553029971183</x:v>
      </x:c>
      <x:c r="I84" s="13" t="n">
        <x:v>7.98506197349359</x:v>
      </x:c>
      <x:c r="J84" s="31" t="n">
        <x:v>0.182029383243977</x:v>
      </x:c>
      <x:c r="K84" s="13" t="n">
        <x:v>1.64688425986177</x:v>
      </x:c>
      <x:c r="L84" s="13" t="n">
        <x:v>2.3773670181174</x:v>
      </x:c>
      <x:c r="M84" s="31" t="n">
        <x:v>0.134134188500386</x:v>
      </x:c>
      <x:c r="N84" s="13" t="n">
        <x:v>9.33647480731999</x:v>
      </x:c>
      <x:c r="O84" s="32" t="n">
        <x:v>10.9631656777645</x:v>
      </x:c>
      <x:c r="P84" s="32" t="n">
        <x:v>17.4581713516298</x:v>
      </x:c>
    </x:row>
    <x:row r="85">
      <x:c r="A85" s="9" t="str">
        <x:v>Software (System &amp; Application)</x:v>
      </x:c>
      <x:c r="B85" s="9" t="str">
        <x:v>Software y datos</x:v>
      </x:c>
      <x:c r="C85" s="9" t="str">
        <x:v>VE/ventas y VE/EBITDA</x:v>
      </x:c>
      <x:c r="D85" s="10" t="n">
        <x:v>290</x:v>
      </x:c>
      <x:c r="E85" s="31" t="n">
        <x:v>0.555172413793103</x:v>
      </x:c>
      <x:c r="F85" s="13" t="n">
        <x:v>82.1062311070532</x:v>
      </x:c>
      <x:c r="G85" s="13" t="n">
        <x:v>125.454727465682</x:v>
      </x:c>
      <x:c r="H85" s="13" t="n">
        <x:v>32.7116309429682</x:v>
      </x:c>
      <x:c r="I85" s="13" t="n">
        <x:v>5.14542329042665</x:v>
      </x:c>
      <x:c r="J85" s="31" t="n">
        <x:v>0.157744265223162</x:v>
      </x:c>
      <x:c r="K85" s="13" t="n">
        <x:v>5.25850134932666</x:v>
      </x:c>
      <x:c r="L85" s="13" t="n">
        <x:v>5.30695729237838</x:v>
      </x:c>
      <x:c r="M85" s="31" t="n">
        <x:v>0.193638404654847</x:v>
      </x:c>
      <x:c r="N85" s="13" t="n">
        <x:v>20.8548306689306</x:v>
      </x:c>
      <x:c r="O85" s="32" t="n">
        <x:v>30.7993480981173</x:v>
      </x:c>
      <x:c r="P85" s="32" t="n">
        <x:v>25.2501959303785</x:v>
      </x:c>
    </x:row>
    <x:row r="86">
      <x:c r="A86" s="9" t="str">
        <x:v>Steel</x:v>
      </x:c>
      <x:c r="B86" s="9" t="str">
        <x:v>Otros</x:v>
      </x:c>
      <x:c r="C86" s="9" t="str">
        <x:v>VE/EBITDA</x:v>
      </x:c>
      <x:c r="D86" s="10" t="n">
        <x:v>57</x:v>
      </x:c>
      <x:c r="E86" s="31" t="n">
        <x:v>0.543859649122807</x:v>
      </x:c>
      <x:c r="F86" s="13" t="n">
        <x:v>35.9224103159097</x:v>
      </x:c>
      <x:c r="G86" s="13" t="n">
        <x:v>36.1568321232593</x:v>
      </x:c>
      <x:c r="H86" s="13" t="n">
        <x:v>14.2503865451753</x:v>
      </x:c>
      <x:c r="I86" s="13" t="n">
        <x:v>0.717229977363884</x:v>
      </x:c>
      <x:c r="J86" s="31" t="n">
        <x:v>0.0254719692351816</x:v>
      </x:c>
      <x:c r="K86" s="13" t="n">
        <x:v>0.479364453351679</x:v>
      </x:c>
      <x:c r="L86" s="13" t="n">
        <x:v>0.547374668152873</x:v>
      </x:c>
      <x:c r="M86" s="31" t="n">
        <x:v>0.0161712251811307</x:v>
      </x:c>
      <x:c r="N86" s="13" t="n">
        <x:v>8.26880882070412</x:v>
      </x:c>
      <x:c r="O86" s="32" t="n">
        <x:v>9.69218924413755</x:v>
      </x:c>
      <x:c r="P86" s="32" t="n">
        <x:v>32.8446536885497</x:v>
      </x:c>
    </x:row>
    <x:row r="87">
      <x:c r="A87" s="9" t="str">
        <x:v>Telecom (Wireless)</x:v>
      </x:c>
      <x:c r="B87" s="9" t="str">
        <x:v>Otros</x:v>
      </x:c>
      <x:c r="C87" s="9" t="str">
        <x:v>VE/EBITDA</x:v>
      </x:c>
      <x:c r="D87" s="10" t="n">
        <x:v>11</x:v>
      </x:c>
      <x:c r="E87" s="31" t="n">
        <x:v>0.181818181818182</x:v>
      </x:c>
      <x:c r="F87" s="13" t="n">
        <x:v>37.6180409226696</x:v>
      </x:c>
      <x:c r="G87" s="13" t="n">
        <x:v>104.530628461643</x:v>
      </x:c>
      <x:c r="H87" s="13" t="n">
        <x:v>19.504195923811</x:v>
      </x:c>
      <x:c r="I87" s="13" t="n">
        <x:v>0.930137446384023</x:v>
      </x:c>
      <x:c r="J87" s="31" t="n">
        <x:v>-0.0263283190495248</x:v>
      </x:c>
      <x:c r="K87" s="13" t="n">
        <x:v>1.15783617049052</x:v>
      </x:c>
      <x:c r="L87" s="13" t="n">
        <x:v>2.17065313799237</x:v>
      </x:c>
      <x:c r="M87" s="31" t="n">
        <x:v>0.130040952408069</x:v>
      </x:c>
      <x:c r="N87" s="13" t="n">
        <x:v>8.33248484848485</x:v>
      </x:c>
      <x:c r="O87" s="32" t="n">
        <x:v>8.9166137310429</x:v>
      </x:c>
      <x:c r="P87" s="32" t="n">
        <x:v>16.6133697151969</x:v>
      </x:c>
    </x:row>
    <x:row r="88">
      <x:c r="A88" s="9" t="str">
        <x:v>Telecom. Equipment</x:v>
      </x:c>
      <x:c r="B88" s="9" t="str">
        <x:v>Otros</x:v>
      </x:c>
      <x:c r="C88" s="9" t="str">
        <x:v>VE/EBITDA</x:v>
      </x:c>
      <x:c r="D88" s="10" t="n">
        <x:v>50</x:v>
      </x:c>
      <x:c r="E88" s="31" t="n">
        <x:v>0.56</x:v>
      </x:c>
      <x:c r="F88" s="13" t="n">
        <x:v>1032.30346767997</x:v>
      </x:c>
      <x:c r="G88" s="13" t="n">
        <x:v>80.9873934263733</x:v>
      </x:c>
      <x:c r="H88" s="13" t="n">
        <x:v>31.85540043572</x:v>
      </x:c>
      <x:c r="I88" s="13" t="n">
        <x:v>2.19270781693847</x:v>
      </x:c>
      <x:c r="J88" s="31" t="n">
        <x:v>0.094176799152262</x:v>
      </x:c>
      <x:c r="K88" s="13" t="n">
        <x:v>1.42307874448158</x:v>
      </x:c>
      <x:c r="L88" s="13" t="n">
        <x:v>1.42632640318472</x:v>
      </x:c>
      <x:c r="M88" s="31" t="n">
        <x:v>0.0718168344077822</x:v>
      </x:c>
      <x:c r="N88" s="13" t="n">
        <x:v>13.2853947029589</x:v>
      </x:c>
      <x:c r="O88" s="32" t="n">
        <x:v>16.5891962362145</x:v>
      </x:c>
      <x:c r="P88" s="32" t="n">
        <x:v>19.4958506638263</x:v>
      </x:c>
    </x:row>
    <x:row r="89">
      <x:c r="A89" s="9" t="str">
        <x:v>Telecom. Services</x:v>
      </x:c>
      <x:c r="B89" s="9" t="str">
        <x:v>Otros</x:v>
      </x:c>
      <x:c r="C89" s="9" t="str">
        <x:v>VE/EBITDA</x:v>
      </x:c>
      <x:c r="D89" s="10" t="n">
        <x:v>62</x:v>
      </x:c>
      <x:c r="E89" s="31" t="n">
        <x:v>0.306451612903226</x:v>
      </x:c>
      <x:c r="F89" s="13" t="n">
        <x:v>22.808295455836</x:v>
      </x:c>
      <x:c r="G89" s="13" t="n">
        <x:v>20.8449313031809</x:v>
      </x:c>
      <x:c r="H89" s="13" t="n">
        <x:v>19.1891081931599</x:v>
      </x:c>
      <x:c r="I89" s="13" t="n">
        <x:v>1.61140953566609</x:v>
      </x:c>
      <x:c r="J89" s="31" t="n">
        <x:v>0.0973282843113409</x:v>
      </x:c>
      <x:c r="K89" s="13" t="n">
        <x:v>1.22733856506272</x:v>
      </x:c>
      <x:c r="L89" s="13" t="n">
        <x:v>2.27030238068582</x:v>
      </x:c>
      <x:c r="M89" s="31" t="n">
        <x:v>0.162090580535481</x:v>
      </x:c>
      <x:c r="N89" s="13" t="n">
        <x:v>7.18680879881474</x:v>
      </x:c>
      <x:c r="O89" s="32" t="n">
        <x:v>8.30645969964808</x:v>
      </x:c>
      <x:c r="P89" s="32" t="n">
        <x:v>13.6594145636765</x:v>
      </x:c>
    </x:row>
    <x:row r="90">
      <x:c r="A90" s="9" t="str">
        <x:v>Tobacco</x:v>
      </x:c>
      <x:c r="B90" s="9" t="str">
        <x:v>Otros</x:v>
      </x:c>
      <x:c r="C90" s="9" t="str">
        <x:v>VE/EBITDA</x:v>
      </x:c>
      <x:c r="D90" s="10" t="n">
        <x:v>5</x:v>
      </x:c>
      <x:c r="E90" s="31" t="n">
        <x:v>0</x:v>
      </x:c>
      <x:c r="F90" s="13" t="n">
        <x:v>16.1943536456305</x:v>
      </x:c>
      <x:c r="G90" s="13" t="n">
        <x:v>15.4793962375116</x:v>
      </x:c>
      <x:c r="H90" s="13" t="n">
        <x:v>10.7104684372901</x:v>
      </x:c>
      <x:c r="I90" s="13" t="n">
        <x:v>2.1643914079865</x:v>
      </x:c>
      <x:c r="J90" s="31" t="n">
        <x:v>0.0947406146402652</x:v>
      </x:c>
      <x:c r="K90" s="13" t="n">
        <x:v>2.54358734257433</x:v>
      </x:c>
      <x:c r="L90" s="13" t="n">
        <x:v>3.40076298934179</x:v>
      </x:c>
      <x:c r="M90" s="31" t="n">
        <x:v>0.304424865255136</x:v>
      </x:c>
      <x:c r="N90" s="13" t="n">
        <x:v>9.44081416517873</x:v>
      </x:c>
      <x:c r="O90" s="32" t="n">
        <x:v>10.3790452638467</x:v>
      </x:c>
      <x:c r="P90" s="32" t="n">
        <x:v>11.1711078084625</x:v>
      </x:c>
    </x:row>
    <x:row r="91">
      <x:c r="A91" s="9" t="str">
        <x:v>Transportation</x:v>
      </x:c>
      <x:c r="B91" s="9" t="str">
        <x:v>Otros</x:v>
      </x:c>
      <x:c r="C91" s="9" t="str">
        <x:v>VE/EBITDA</x:v>
      </x:c>
      <x:c r="D91" s="10" t="n">
        <x:v>56</x:v>
      </x:c>
      <x:c r="E91" s="31" t="n">
        <x:v>0.357142857142857</x:v>
      </x:c>
      <x:c r="F91" s="13" t="n">
        <x:v>25.5436310663697</x:v>
      </x:c>
      <x:c r="G91" s="13" t="n">
        <x:v>21.2278362406572</x:v>
      </x:c>
      <x:c r="H91" s="13" t="n">
        <x:v>18.3652285341133</x:v>
      </x:c>
      <x:c r="I91" s="13" t="n">
        <x:v>1.83660189403353</x:v>
      </x:c>
      <x:c r="J91" s="31" t="n">
        <x:v>0.0681658305783628</x:v>
      </x:c>
      <x:c r="K91" s="13" t="n">
        <x:v>0.795176698092328</x:v>
      </x:c>
      <x:c r="L91" s="13" t="n">
        <x:v>1.29567221385946</x:v>
      </x:c>
      <x:c r="M91" s="31" t="n">
        <x:v>0.072442782866621</x:v>
      </x:c>
      <x:c r="N91" s="13" t="n">
        <x:v>12.6044450654203</x:v>
      </x:c>
      <x:c r="O91" s="32" t="n">
        <x:v>15.4384543571375</x:v>
      </x:c>
      <x:c r="P91" s="32" t="n">
        <x:v>17.7116652999775</x:v>
      </x:c>
    </x:row>
    <x:row r="92">
      <x:c r="A92" s="9" t="str">
        <x:v>Transportation (Railroads)</x:v>
      </x:c>
      <x:c r="B92" s="9" t="str">
        <x:v>Otros</x:v>
      </x:c>
      <x:c r="C92" s="9" t="str">
        <x:v>VE/EBITDA</x:v>
      </x:c>
      <x:c r="D92" s="10" t="n">
        <x:v>8</x:v>
      </x:c>
      <x:c r="E92" s="31" t="n">
        <x:v>0.125</x:v>
      </x:c>
      <x:c r="F92" s="13" t="n">
        <x:v>98.1959835910046</x:v>
      </x:c>
      <x:c r="G92" s="13" t="n">
        <x:v>156.423533423523</x:v>
      </x:c>
      <x:c r="H92" s="13" t="n">
        <x:v>11.293506583777</x:v>
      </x:c>
      <x:c r="I92" s="13" t="n">
        <x:v>1.20674970819959</x:v>
      </x:c>
      <x:c r="J92" s="31" t="n">
        <x:v>-0.00235364380620051</x:v>
      </x:c>
      <x:c r="K92" s="13" t="n">
        <x:v>1.36957961625235</x:v>
      </x:c>
      <x:c r="L92" s="13" t="n">
        <x:v>1.62819247509789</x:v>
      </x:c>
      <x:c r="M92" s="31" t="n">
        <x:v>0.0165235524624661</x:v>
      </x:c>
      <x:c r="N92" s="13" t="n">
        <x:v>6.96555070493433</x:v>
      </x:c>
      <x:c r="O92" s="32" t="n">
        <x:v>46.0744233874564</x:v>
      </x:c>
      <x:c r="P92" s="32" t="n">
        <x:v>60.271945374264</x:v>
      </x:c>
    </x:row>
    <x:row r="93">
      <x:c r="A93" s="9" t="str">
        <x:v>Trucking</x:v>
      </x:c>
      <x:c r="B93" s="9" t="str">
        <x:v>Otros</x:v>
      </x:c>
      <x:c r="C93" s="9" t="str">
        <x:v>VE/EBITDA</x:v>
      </x:c>
      <x:c r="D93" s="10" t="n">
        <x:v>7</x:v>
      </x:c>
      <x:c r="E93" s="31" t="n">
        <x:v>0.285714285714286</x:v>
      </x:c>
      <x:c r="F93" s="13" t="n">
        <x:v>61.5647109223766</x:v>
      </x:c>
      <x:c r="G93" s="13" t="n">
        <x:v>42.3442792817117</x:v>
      </x:c>
      <x:c r="H93" s="13" t="n">
        <x:v>17.3499163764647</x:v>
      </x:c>
      <x:c r="I93" s="13" t="n">
        <x:v>1.46826571908005</x:v>
      </x:c>
      <x:c r="J93" s="31" t="n">
        <x:v>0.104556482183472</x:v>
      </x:c>
      <x:c r="K93" s="13" t="n">
        <x:v>0.376768711790644</x:v>
      </x:c>
      <x:c r="L93" s="13" t="n">
        <x:v>0.619317729141002</x:v>
      </x:c>
      <x:c r="M93" s="31" t="n">
        <x:v>0.0370421497403779</x:v>
      </x:c>
      <x:c r="N93" s="13" t="n">
        <x:v>9.14722396993555</x:v>
      </x:c>
      <x:c r="O93" s="32" t="n">
        <x:v>9.49316673725822</x:v>
      </x:c>
      <x:c r="P93" s="32" t="n">
        <x:v>16.7192707086844</x:v>
      </x:c>
    </x:row>
    <x:row r="94">
      <x:c r="A94" s="9" t="str">
        <x:v>Utility (General)</x:v>
      </x:c>
      <x:c r="B94" s="9" t="str">
        <x:v>Energía</x:v>
      </x:c>
      <x:c r="C94" s="9" t="str">
        <x:v>VE/EBITDA</x:v>
      </x:c>
      <x:c r="D94" s="10" t="n">
        <x:v>18</x:v>
      </x:c>
      <x:c r="E94" s="31" t="n">
        <x:v>0.111111111111111</x:v>
      </x:c>
      <x:c r="F94" s="13" t="n">
        <x:v>15.392898131657</x:v>
      </x:c>
      <x:c r="G94" s="13" t="n">
        <x:v>13.1149567241054</x:v>
      </x:c>
      <x:c r="H94" s="13" t="n">
        <x:v>12.73352249568</x:v>
      </x:c>
      <x:c r="I94" s="13" t="n">
        <x:v>1.51179455127873</x:v>
      </x:c>
      <x:c r="J94" s="31" t="n">
        <x:v>0.123000812945991</x:v>
      </x:c>
      <x:c r="K94" s="13" t="n">
        <x:v>0.742834689845866</x:v>
      </x:c>
      <x:c r="L94" s="13" t="n">
        <x:v>1.30344008411113</x:v>
      </x:c>
      <x:c r="M94" s="31" t="n">
        <x:v>0.117836129213969</x:v>
      </x:c>
      <x:c r="N94" s="13" t="n">
        <x:v>7.57794667987031</x:v>
      </x:c>
      <x:c r="O94" s="32" t="n">
        <x:v>8.21480929390357</x:v>
      </x:c>
      <x:c r="P94" s="32" t="n">
        <x:v>11.0552508125494</x:v>
      </x:c>
    </x:row>
    <x:row r="95">
      <x:c r="A95" s="9" t="str">
        <x:v>Utility (Water)</x:v>
      </x:c>
      <x:c r="B95" s="9" t="str">
        <x:v>Energía</x:v>
      </x:c>
      <x:c r="C95" s="9" t="str">
        <x:v>VE/EBITDA</x:v>
      </x:c>
      <x:c r="D95" s="10" t="n">
        <x:v>12</x:v>
      </x:c>
      <x:c r="E95" s="31" t="n">
        <x:v>0.583333333333333</x:v>
      </x:c>
      <x:c r="F95" s="13" t="n">
        <x:v>37.1884116890725</x:v>
      </x:c>
      <x:c r="G95" s="13" t="n">
        <x:v>34.1680473362031</x:v>
      </x:c>
      <x:c r="H95" s="13" t="n">
        <x:v>13.911206959792</x:v>
      </x:c>
      <x:c r="I95" s="13" t="n">
        <x:v>3.22088524610568</x:v>
      </x:c>
      <x:c r="J95" s="31" t="n">
        <x:v>0.130648554689948</x:v>
      </x:c>
      <x:c r="K95" s="13" t="n">
        <x:v>2.98494370595226</x:v>
      </x:c>
      <x:c r="L95" s="13" t="n">
        <x:v>6.46398473020836</x:v>
      </x:c>
      <x:c r="M95" s="31" t="n">
        <x:v>0.27495384847438</x:v>
      </x:c>
      <x:c r="N95" s="13" t="n">
        <x:v>14.6616320078137</x:v>
      </x:c>
      <x:c r="O95" s="32" t="n">
        <x:v>18.3548270065209</x:v>
      </x:c>
      <x:c r="P95" s="32" t="n">
        <x:v>23.4937288231308</x:v>
      </x:c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</x:sheetData>
  <x:pageMargins left="0.7" right="0.7" top="0.75" bottom="0.75" header="0.3" footer="0.3"/>
  <x:tableParts count="1">
    <x:tablePart xmlns:r="http://schemas.openxmlformats.org/officeDocument/2006/relationships" r:id="R74e050d187f4487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95" hidden="0" customWidth="1"/>
  </x:cols>
  <x:sheetData>
    <x:row r="1" ht="32" customHeight="1">
      <x:c r="A1" s="4" t="str">
        <x:v>Metodología y uso financiero</x:v>
      </x:c>
      <x:c r="B1" s="4" t="str">
        <x:v>Metodología y uso financiero</x:v>
      </x:c>
      <x:c r="C1" s="4" t="str">
        <x:v>Metodología y uso financiero</x:v>
      </x:c>
      <x:c r="D1" s="4" t="str">
        <x:v>Metodología y uso financiero</x:v>
      </x:c>
      <x:c r="E1" s="4" t="str">
        <x:v>Metodología y uso financiero</x:v>
      </x:c>
      <x:c r="F1" s="4" t="str">
        <x:v>Metodología y uso financiero</x:v>
      </x:c>
      <x:c r="G1" s="4" t="str">
        <x:v>Metodología y uso financiero</x:v>
      </x:c>
      <x:c r="H1" s="4" t="str">
        <x:v>Metodología y uso financiero</x:v>
      </x:c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8" t="str">
        <x:v>Concepto</x:v>
      </x:c>
      <x:c r="B4" s="8" t="str">
        <x:v>Criterio aplicado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9" t="str">
        <x:v>Universo</x:v>
      </x:c>
      <x:c r="B5" s="33" t="str">
        <x:v>Compañías europeas incluidas en las bases regionales de Damodaran: UE, Reino Unido, Suiza y países escandinavos.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9" t="str">
        <x:v>Fecha</x:v>
      </x:c>
      <x:c r="B6" s="33" t="str">
        <x:v>Actualización de 5 de enero de 2026. Refleja la información disponible al inicio de 2026 y, principalmente, datos empresariales de 2025.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9" t="str">
        <x:v>PER</x:v>
      </x:c>
      <x:c r="B7" s="33" t="str">
        <x:v>Precio dividido por beneficio. El PER trailing solo se interpreta cuando el beneficio es positivo.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9" t="str">
        <x:v>P/VC</x:v>
      </x:c>
      <x:c r="B8" s="33" t="str">
        <x:v>Capitalización dividida por fondos propios contables. Especialmente relevante en bancos y aseguradoras.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9" t="str">
        <x:v>VE/ventas</x:v>
      </x:c>
      <x:c r="B9" s="33" t="str">
        <x:v>Valor de empresa dividido por ingresos. Útil cuando EBITDA o beneficio son pequeños o negativos, siempre contrastando márgenes.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9" t="str">
        <x:v>VE/EBITDA positivo</x:v>
      </x:c>
      <x:c r="B10" s="33" t="str">
        <x:v>Valor de empresa agregado dividido por EBITDA agregado de las compañías con EBITDA positivo.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9" t="str">
        <x:v>VE/EBITDA todas</x:v>
      </x:c>
      <x:c r="B11" s="33" t="str">
        <x:v>Valor de empresa y EBITDA agregados de todas las empresas. Puede distorsionarse si existen pérdidas operativas.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9" t="str">
        <x:v>Estadístico</x:v>
      </x:c>
      <x:c r="B12" s="33" t="str">
        <x:v>Damodaran utiliza ratios agregados, equivalentes a ponderar implícitamente por magnitud. No son medianas simples de empresas.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9" t="str">
        <x:v>Aplicación Arroba</x:v>
      </x:c>
      <x:c r="B13" s="33" t="str">
        <x:v>Usar como referencia regional, después ajustar por tamaño, liquidez, crecimiento, margen, concentración y riesgo específico.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9" t="str">
        <x:v>Financieras</x:v>
      </x:c>
      <x:c r="B14" s="33" t="str">
        <x:v>No aplicar VE/EBITDA de forma mecánica. Priorizar P/VC, PER, ROE y calidad del capital.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9" t="str">
        <x:v>Inmobiliario</x:v>
      </x:c>
      <x:c r="B15" s="33" t="str">
        <x:v>Separar promotoras, patrimonialistas y REIT/SOCIMI. Contrastar P/VC, NAV y VE/EBITDA cuando corresponda.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48" hidden="0" customWidth="1"/>
    <x:col min="3" max="3" width="18" hidden="0" customWidth="1"/>
    <x:col min="4" max="4" width="75" hidden="0" customWidth="1"/>
  </x:cols>
  <x:sheetData>
    <x:row r="1" ht="32" customHeight="1">
      <x:c r="A1" s="4" t="str">
        <x:v>Fuentes y trazabilidad</x:v>
      </x:c>
      <x:c r="B1" s="4" t="str">
        <x:v>Fuentes y trazabilidad</x:v>
      </x:c>
      <x:c r="C1" s="4" t="str">
        <x:v>Fuentes y trazabilidad</x:v>
      </x:c>
      <x:c r="D1" s="4" t="str">
        <x:v>Fuentes y trazabilidad</x:v>
      </x:c>
      <x:c r="E1" s="4" t="str">
        <x:v>Fuentes y trazabilidad</x:v>
      </x:c>
      <x:c r="F1" s="4" t="str">
        <x:v>Fuentes y trazabilidad</x:v>
      </x:c>
      <x:c r="G1" s="1"/>
      <x:c r="H1" s="1"/>
      <x:c r="I1" s="1"/>
      <x:c r="J1" s="1"/>
      <x:c r="K1" s="1"/>
      <x:c r="L1" s="1"/>
      <x:c r="M1" s="1"/>
      <x:c r="N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8" t="str">
        <x:v>Fuente</x:v>
      </x:c>
      <x:c r="B4" s="8" t="str">
        <x:v>Contenido</x:v>
      </x:c>
      <x:c r="C4" s="8" t="str">
        <x:v>Fecha</x:v>
      </x:c>
      <x:c r="D4" s="8" t="str">
        <x:v>Enlace</x:v>
      </x:c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9" t="str">
        <x:v>NYU Stern — Damodaran</x:v>
      </x:c>
      <x:c r="B5" s="9" t="str">
        <x:v>PER por industria</x:v>
      </x:c>
      <x:c r="C5" s="9" t="str">
        <x:v>2026-01-05</x:v>
      </x:c>
      <x:c r="D5" s="34" t="str">
        <x:v>https://pages.stern.nyu.edu/~adamodar/pc/datasets/peEurope.xls</x:v>
      </x:c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9" t="str">
        <x:v>NYU Stern — Damodaran</x:v>
      </x:c>
      <x:c r="B6" s="9" t="str">
        <x:v>P/VC por industria</x:v>
      </x:c>
      <x:c r="C6" s="9" t="str">
        <x:v>2026-01-05</x:v>
      </x:c>
      <x:c r="D6" s="34" t="str">
        <x:v>https://pages.stern.nyu.edu/~adamodar/pc/datasets/pbvEurope.xls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9" t="str">
        <x:v>NYU Stern — Damodaran</x:v>
      </x:c>
      <x:c r="B7" s="9" t="str">
        <x:v>P/ventas y VE/ventas</x:v>
      </x:c>
      <x:c r="C7" s="9" t="str">
        <x:v>2026-01-05</x:v>
      </x:c>
      <x:c r="D7" s="34" t="str">
        <x:v>https://pages.stern.nyu.edu/~adamodar/pc/datasets/psEurope.xls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9" t="str">
        <x:v>NYU Stern — Damodaran</x:v>
      </x:c>
      <x:c r="B8" s="9" t="str">
        <x:v>VE/EBITDA y VE/EBIT</x:v>
      </x:c>
      <x:c r="C8" s="9" t="str">
        <x:v>2026-01-05</x:v>
      </x:c>
      <x:c r="D8" s="34" t="str">
        <x:v>https://pages.stern.nyu.edu/~adamodar/pc/datasets/vebitdaEurope.xls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9" t="str">
        <x:v>Metodología regional</x:v>
      </x:c>
      <x:c r="B9" s="9" t="str">
        <x:v>Página de datos regionales</x:v>
      </x:c>
      <x:c r="C9" s="9" t="str">
        <x:v>2026-01-05</x:v>
      </x:c>
      <x:c r="D9" s="34" t="str">
        <x:v>https://pages.stern.nyu.edu/adamodar/New_Home_Page/datacurrent.html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>
      <x:c r="A10" s="9" t="str">
        <x:v>MarketScreener</x:v>
      </x:c>
      <x:c r="B10" s="9" t="str">
        <x:v>Fuente de contraste para compañías y muestras específicas</x:v>
      </x:c>
      <x:c r="C10" s="9" t="str">
        <x:v>Consulta posterior</x:v>
      </x:c>
      <x:c r="D10" s="34" t="str">
        <x:v>https://www.marketscreener.com/stock-exchange/shares/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</x:row>
  </x:sheetData>
  <x:mergeCells>
    <x:mergeCell ref="A1:F1"/>
  </x:mergeCells>
  <x:pageMargins left="0.7" right="0.7" top="0.75" bottom="0.75" header="0.3" footer="0.3"/>
</x:worksheet>
</file>