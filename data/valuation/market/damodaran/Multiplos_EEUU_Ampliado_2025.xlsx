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6d79e047f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4db7d1aaa454cc4"/>
    <x:sheet xmlns:r="http://schemas.openxmlformats.org/officeDocument/2006/relationships" name="Sectores" sheetId="2" r:id="R50d0a311cb154029"/>
    <x:sheet xmlns:r="http://schemas.openxmlformats.org/officeDocument/2006/relationships" name="Metodología" sheetId="3" r:id="R9d3d04b334cd4fba"/>
    <x:sheet xmlns:r="http://schemas.openxmlformats.org/officeDocument/2006/relationships" name="Fuentes" sheetId="4" r:id="R03da65a9627d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x"/>
    <x:numFmt numFmtId="202" formatCode="0.0%"/>
  </x:numFmts>
  <x:fonts count="8">
    <x:font>
      <x:sz val="11"/>
      <x:name val="Carlito"/>
    </x:font>
    <x:font>
      <x:sz val="10"/>
      <x:name val="Arial"/>
    </x:font>
    <x:font>
      <x:b/>
      <x:sz val="18"/>
      <x:color rgb="FFFFFFF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b/>
      <x:sz val="11"/>
      <x:color rgb="FFFFFFFF"/>
      <x:name val="Arial"/>
    </x:font>
    <x:font>
      <x:sz val="10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6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b7c24de2d48a6" /><Relationship Type="http://schemas.openxmlformats.org/officeDocument/2006/relationships/theme" Target="/xl/theme/theme1.xml" Id="R9e77a19d272041b6" /><Relationship Type="http://schemas.openxmlformats.org/officeDocument/2006/relationships/sharedStrings" Target="/xl/sharedStrings.xml" Id="Re130b914b03d4a8b" /><Relationship Type="http://schemas.openxmlformats.org/officeDocument/2006/relationships/worksheet" Target="/xl/worksheets/sheet1.xml" Id="R04db7d1aaa454cc4" /><Relationship Type="http://schemas.openxmlformats.org/officeDocument/2006/relationships/worksheet" Target="/xl/worksheets/sheet2.xml" Id="R50d0a311cb154029" /><Relationship Type="http://schemas.openxmlformats.org/officeDocument/2006/relationships/worksheet" Target="/xl/worksheets/sheet3.xml" Id="R9d3d04b334cd4fba" /><Relationship Type="http://schemas.openxmlformats.org/officeDocument/2006/relationships/worksheet" Target="/xl/worksheets/sheet4.xml" Id="R03da65a9627d4c6a" /></Relationships>
</file>

<file path=xl/tables/table1.xml><?xml version="1.0" encoding="utf-8"?>
<x:table xmlns:x="http://schemas.openxmlformats.org/spreadsheetml/2006/main" id="1" name="ResumenArroba" displayName="ResumenArroba" ref="A10:G20" headerRowCount="1" totalsRowCount="0" totalsRowShown="0">
  <x:tableColumns count="7">
    <x:tableColumn id="1" name="Grupo Arroba"/>
    <x:tableColumn id="2" name="Industrias"/>
    <x:tableColumn id="3" name="Empresas"/>
    <x:tableColumn id="4" name="PER trailing"/>
    <x:tableColumn id="5" name="VE/EBITDA"/>
    <x:tableColumn id="6" name="VE/ventas"/>
    <x:tableColumn id="7" name="P/V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toresMultiples" displayName="SectoresMultiples" ref="A1:P95" headerRowCount="1" totalsRowCount="0" totalsRowShown="0">
  <x:tableColumns count="16">
    <x:tableColumn id="1" name="Industria Damodaran"/>
    <x:tableColumn id="2" name="Grupo Arroba"/>
    <x:tableColumn id="3" name="Método principal"/>
    <x:tableColumn id="4" name="Empresas"/>
    <x:tableColumn id="5" name="% con pérdidas"/>
    <x:tableColumn id="6" name="PER actual"/>
    <x:tableColumn id="7" name="PER trailing"/>
    <x:tableColumn id="8" name="PER forward"/>
    <x:tableColumn id="9" name="P/VC"/>
    <x:tableColumn id="10" name="ROE"/>
    <x:tableColumn id="11" name="P/ventas"/>
    <x:tableColumn id="12" name="VE/ventas"/>
    <x:tableColumn id="13" name="Margen operativo"/>
    <x:tableColumn id="14" name="VE/EBITDA positivo"/>
    <x:tableColumn id="15" name="VE/EBITDA todas"/>
    <x:tableColumn id="16" name="VE/EB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9fd1e734d4e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d1321b5e2944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4" t="str">
        <x:v>Múltiplos ampliados — Estados Unidos</x:v>
      </x:c>
      <x:c r="B1" s="4" t="str">
        <x:v>Múltiplos ampliados — Estados Unidos</x:v>
      </x:c>
      <x:c r="C1" s="4" t="str">
        <x:v>Múltiplos ampliados — Estados Unidos</x:v>
      </x:c>
      <x:c r="D1" s="4" t="str">
        <x:v>Múltiplos ampliados — Estados Unidos</x:v>
      </x:c>
      <x:c r="E1" s="4" t="str">
        <x:v>Múltiplos ampliados — Estados Unidos</x:v>
      </x:c>
      <x:c r="F1" s="4" t="str">
        <x:v>Múltiplos ampliados — Estados Unidos</x:v>
      </x:c>
      <x:c r="G1" s="4" t="str">
        <x:v>Múltiplos ampliados — Estados Unidos</x:v>
      </x:c>
      <x:c r="H1" s="4" t="str">
        <x:v>Múltiplos ampliados — Estados Unidos</x:v>
      </x:c>
      <x:c r="I1" s="1"/>
      <x:c r="J1" s="1"/>
      <x:c r="K1" s="1"/>
      <x:c r="L1" s="1"/>
      <x:c r="M1" s="1"/>
      <x:c r="N1" s="1"/>
    </x:row>
    <x:row r="2">
      <x:c r="A2" s="5" t="str">
        <x:v>2025 (TTM disponible al inicio de 2026). Fecha de extracción: 2026-01-05.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" t="str">
        <x:v>Indicador</x:v>
      </x:c>
      <x:c r="B4" s="8" t="str">
        <x:v>Valor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9" t="str">
        <x:v>Empresas del universo</x:v>
      </x:c>
      <x:c r="B5" s="10" t="n">
        <x:f>SUM(Sectores!D2:D95)</x:f>
        <x:v>5994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9" t="str">
        <x:v>Industrias</x:v>
      </x:c>
      <x:c r="B6" s="10" t="n">
        <x:f>COUNTA(Sectores!A2:A95)</x:f>
        <x:v>94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9" t="str">
        <x:v>Fuente</x:v>
      </x:c>
      <x:c r="B7" s="9" t="str">
        <x:v>Damodaran / NYU Stern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2" t="str">
        <x:v>Grupo Arroba</x:v>
      </x:c>
      <x:c r="B10" s="12" t="str">
        <x:v>Industrias</x:v>
      </x:c>
      <x:c r="C10" s="12" t="str">
        <x:v>Empresas</x:v>
      </x:c>
      <x:c r="D10" s="12" t="str">
        <x:v>PER trailing</x:v>
      </x:c>
      <x:c r="E10" s="12" t="str">
        <x:v>VE/EBITDA</x:v>
      </x:c>
      <x:c r="F10" s="12" t="str">
        <x:v>VE/ventas</x:v>
      </x:c>
      <x:c r="G10" s="12" t="str">
        <x:v>P/VC</x:v>
      </x:c>
      <x:c r="H10" s="1"/>
      <x:c r="I10" s="1"/>
      <x:c r="J10" s="1"/>
      <x:c r="K10" s="1"/>
      <x:c r="L10" s="1"/>
      <x:c r="M10" s="1"/>
      <x:c r="N10" s="1"/>
    </x:row>
    <x:row r="11">
      <x:c r="A11" s="9" t="str">
        <x:v>Construcción e ingeniería</x:v>
      </x:c>
      <x:c r="B11" s="10" t="n">
        <x:v>2</x:v>
      </x:c>
      <x:c r="C11" s="10" t="n">
        <x:v>88</x:v>
      </x:c>
      <x:c r="D11" s="13" t="n">
        <x:v>53.0398095191905</x:v>
      </x:c>
      <x:c r="E11" s="13" t="n">
        <x:v>16.99905319836465</x:v>
      </x:c>
      <x:c r="F11" s="13" t="n">
        <x:v>2.48341042289645</x:v>
      </x:c>
      <x:c r="G11" s="13" t="n">
        <x:v>5.47303600192466</x:v>
      </x:c>
      <x:c r="H11" s="1"/>
      <x:c r="I11" s="1"/>
      <x:c r="J11" s="1"/>
      <x:c r="K11" s="1"/>
      <x:c r="L11" s="1"/>
      <x:c r="M11" s="1"/>
      <x:c r="N11" s="1"/>
    </x:row>
    <x:row r="12">
      <x:c r="A12" s="9" t="str">
        <x:v>Consumo</x:v>
      </x:c>
      <x:c r="B12" s="10" t="n">
        <x:v>9</x:v>
      </x:c>
      <x:c r="C12" s="10" t="n">
        <x:v>361</x:v>
      </x:c>
      <x:c r="D12" s="13" t="n">
        <x:v>47.7637595217202</x:v>
      </x:c>
      <x:c r="E12" s="13" t="n">
        <x:v>13.7083073279968</x:v>
      </x:c>
      <x:c r="F12" s="13" t="n">
        <x:v>1.89480219177548</x:v>
      </x:c>
      <x:c r="G12" s="13" t="n">
        <x:v>6.86906054004121</x:v>
      </x:c>
      <x:c r="H12" s="1"/>
      <x:c r="I12" s="1"/>
      <x:c r="J12" s="1"/>
      <x:c r="K12" s="1"/>
      <x:c r="L12" s="1"/>
      <x:c r="M12" s="1"/>
      <x:c r="N12" s="1"/>
    </x:row>
    <x:row r="13">
      <x:c r="A13" s="9" t="str">
        <x:v>Energía</x:v>
      </x:c>
      <x:c r="B13" s="10" t="n">
        <x:v>9</x:v>
      </x:c>
      <x:c r="C13" s="10" t="n">
        <x:v>371</x:v>
      </x:c>
      <x:c r="D13" s="13" t="n">
        <x:v>23.7172639400163</x:v>
      </x:c>
      <x:c r="E13" s="13" t="n">
        <x:v>11.5623965895417</x:v>
      </x:c>
      <x:c r="F13" s="13" t="n">
        <x:v>4.37178378188289</x:v>
      </x:c>
      <x:c r="G13" s="13" t="n">
        <x:v>1.91838934733431</x:v>
      </x:c>
      <x:c r="H13" s="1"/>
      <x:c r="I13" s="1"/>
      <x:c r="J13" s="1"/>
      <x:c r="K13" s="1"/>
      <x:c r="L13" s="1"/>
      <x:c r="M13" s="1"/>
      <x:c r="N13" s="1"/>
    </x:row>
    <x:row r="14">
      <x:c r="A14" s="9" t="str">
        <x:v>Financiero</x:v>
      </x:c>
      <x:c r="B14" s="10" t="n">
        <x:v>8</x:v>
      </x:c>
      <x:c r="C14" s="10" t="n">
        <x:v>890</x:v>
      </x:c>
      <x:c r="D14" s="13" t="n">
        <x:v>22.2364156559578</x:v>
      </x:c>
      <x:c r="E14" s="13" t="n">
        <x:v>12.5224666727187</x:v>
      </x:c>
      <x:c r="F14" s="13" t="n">
        <x:v>4.30015992765044</x:v>
      </x:c>
      <x:c r="G14" s="13" t="n">
        <x:v>1.82309119894199</x:v>
      </x:c>
      <x:c r="H14" s="1"/>
      <x:c r="I14" s="1"/>
      <x:c r="J14" s="1"/>
      <x:c r="K14" s="1"/>
      <x:c r="L14" s="1"/>
      <x:c r="M14" s="1"/>
      <x:c r="N14" s="1"/>
    </x:row>
    <x:row r="15">
      <x:c r="A15" s="9" t="str">
        <x:v>Inmobiliario</x:v>
      </x:c>
      <x:c r="B15" s="10" t="n">
        <x:v>4</x:v>
      </x:c>
      <x:c r="C15" s="10" t="n">
        <x:v>106</x:v>
      </x:c>
      <x:c r="D15" s="13" t="n">
        <x:v>73.79212193071645</x:v>
      </x:c>
      <x:c r="E15" s="13" t="n">
        <x:v>17.006865758305203</x:v>
      </x:c>
      <x:c r="F15" s="13" t="n">
        <x:v>4.929834840370105</x:v>
      </x:c>
      <x:c r="G15" s="13" t="n">
        <x:v>1.61980877348487</x:v>
      </x:c>
      <x:c r="H15" s="1"/>
      <x:c r="I15" s="1"/>
      <x:c r="J15" s="1"/>
      <x:c r="K15" s="1"/>
      <x:c r="L15" s="1"/>
      <x:c r="M15" s="1"/>
      <x:c r="N15" s="1"/>
    </x:row>
    <x:row r="16">
      <x:c r="A16" s="9" t="str">
        <x:v>Medios y publicidad</x:v>
      </x:c>
      <x:c r="B16" s="10" t="n">
        <x:v>5</x:v>
      </x:c>
      <x:c r="C16" s="10" t="n">
        <x:v>264</x:v>
      </x:c>
      <x:c r="D16" s="13" t="n">
        <x:v>44.4333528841067</x:v>
      </x:c>
      <x:c r="E16" s="13" t="n">
        <x:v>11.9986450750355</x:v>
      </x:c>
      <x:c r="F16" s="13" t="n">
        <x:v>2.12489448233471</x:v>
      </x:c>
      <x:c r="G16" s="13" t="n">
        <x:v>4.5512149974569</x:v>
      </x:c>
      <x:c r="H16" s="1"/>
      <x:c r="I16" s="1"/>
      <x:c r="J16" s="1"/>
      <x:c r="K16" s="1"/>
      <x:c r="L16" s="1"/>
      <x:c r="M16" s="1"/>
      <x:c r="N16" s="1"/>
    </x:row>
    <x:row r="17">
      <x:c r="A17" s="9" t="str">
        <x:v>Otros</x:v>
      </x:c>
      <x:c r="B17" s="10" t="n">
        <x:v>44</x:v>
      </x:c>
      <x:c r="C17" s="10" t="n">
        <x:v>2235</x:v>
      </x:c>
      <x:c r="D17" s="13" t="n">
        <x:v>33.0717958865171</x:v>
      </x:c>
      <x:c r="E17" s="13" t="n">
        <x:v>12.0785021082881</x:v>
      </x:c>
      <x:c r="F17" s="13" t="n">
        <x:v>2.572266637447175</x:v>
      </x:c>
      <x:c r="G17" s="13" t="n">
        <x:v>3.61632689588609</x:v>
      </x:c>
      <x:c r="H17" s="1"/>
      <x:c r="I17" s="1"/>
      <x:c r="J17" s="1"/>
      <x:c r="K17" s="1"/>
      <x:c r="L17" s="1"/>
      <x:c r="M17" s="1"/>
      <x:c r="N17" s="1"/>
    </x:row>
    <x:row r="18">
      <x:c r="A18" s="9" t="str">
        <x:v>Salud</x:v>
      </x:c>
      <x:c r="B18" s="10" t="n">
        <x:v>5</x:v>
      </x:c>
      <x:c r="C18" s="10" t="n">
        <x:v>1063</x:v>
      </x:c>
      <x:c r="D18" s="13" t="n">
        <x:v>55.667674074615</x:v>
      </x:c>
      <x:c r="E18" s="13" t="n">
        <x:v>15.2479968084265</x:v>
      </x:c>
      <x:c r="F18" s="13" t="n">
        <x:v>4.76260076039751</x:v>
      </x:c>
      <x:c r="G18" s="13" t="n">
        <x:v>5.6227362925154</x:v>
      </x:c>
      <x:c r="H18" s="1"/>
      <x:c r="I18" s="1"/>
      <x:c r="J18" s="1"/>
      <x:c r="K18" s="1"/>
      <x:c r="L18" s="1"/>
      <x:c r="M18" s="1"/>
      <x:c r="N18" s="1"/>
    </x:row>
    <x:row r="19">
      <x:c r="A19" s="9" t="str">
        <x:v>Software y datos</x:v>
      </x:c>
      <x:c r="B19" s="10" t="n">
        <x:v>4</x:v>
      </x:c>
      <x:c r="C19" s="10" t="n">
        <x:v>417</x:v>
      </x:c>
      <x:c r="D19" s="13" t="n">
        <x:v>59.4053657774939</x:v>
      </x:c>
      <x:c r="E19" s="13" t="n">
        <x:v>19.289292732299952</x:v>
      </x:c>
      <x:c r="F19" s="13" t="n">
        <x:v>5.886786003898745</x:v>
      </x:c>
      <x:c r="G19" s="13" t="n">
        <x:v>6.93267749249373</x:v>
      </x:c>
      <x:c r="H19" s="1"/>
      <x:c r="I19" s="1"/>
      <x:c r="J19" s="1"/>
      <x:c r="K19" s="1"/>
      <x:c r="L19" s="1"/>
      <x:c r="M19" s="1"/>
      <x:c r="N19" s="1"/>
    </x:row>
    <x:row r="20">
      <x:c r="A20" s="9" t="str">
        <x:v>Turismo y ocio</x:v>
      </x:c>
      <x:c r="B20" s="10" t="n">
        <x:v>4</x:v>
      </x:c>
      <x:c r="C20" s="10" t="n">
        <x:v>199</x:v>
      </x:c>
      <x:c r="D20" s="13" t="n">
        <x:v>47.466101107864446</x:v>
      </x:c>
      <x:c r="E20" s="13" t="n">
        <x:v>12.6617715319022</x:v>
      </x:c>
      <x:c r="F20" s="13" t="n">
        <x:v>3.052971087378285</x:v>
      </x:c>
      <x:c r="G20" s="13" t="n">
        <x:v>8.16557806463775</x:v>
      </x:c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7" t="str">
        <x:v>Uso recomendado: seleccionar primero el grupo sectorial y después contrastar la industria concreta. Para empresas privadas, aplicar ajustes de tamaño, liquidez, concentración, recurrencia y dependencia de personas clave. Los múltiplos no sustituyen el análisis DCF ni el puente de deuda neta.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mergeCells>
    <x:mergeCell ref="A1:H1"/>
    <x:mergeCell ref="A2:H2"/>
    <x:mergeCell ref="A22:H25"/>
  </x:mergeCells>
  <x:pageMargins left="0.7" right="0.7" top="0.75" bottom="0.75" header="0.3" footer="0.3"/>
  <x:tableParts count="1">
    <x:tablePart xmlns:r="http://schemas.openxmlformats.org/officeDocument/2006/relationships" r:id="R6e89fd1e734d4ec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4" customHeight="1">
      <x:c r="A1" s="29" t="str">
        <x:v>Industria Damodaran</x:v>
      </x:c>
      <x:c r="B1" s="29" t="str">
        <x:v>Grupo Arroba</x:v>
      </x:c>
      <x:c r="C1" s="29" t="str">
        <x:v>Método principal</x:v>
      </x:c>
      <x:c r="D1" s="29" t="str">
        <x:v>Empresas</x:v>
      </x:c>
      <x:c r="E1" s="29" t="str">
        <x:v>% con pérdidas</x:v>
      </x:c>
      <x:c r="F1" s="29" t="str">
        <x:v>PER actual</x:v>
      </x:c>
      <x:c r="G1" s="29" t="str">
        <x:v>PER trailing</x:v>
      </x:c>
      <x:c r="H1" s="29" t="str">
        <x:v>PER forward</x:v>
      </x:c>
      <x:c r="I1" s="29" t="str">
        <x:v>P/VC</x:v>
      </x:c>
      <x:c r="J1" s="29" t="str">
        <x:v>ROE</x:v>
      </x:c>
      <x:c r="K1" s="29" t="str">
        <x:v>P/ventas</x:v>
      </x:c>
      <x:c r="L1" s="29" t="str">
        <x:v>VE/ventas</x:v>
      </x:c>
      <x:c r="M1" s="29" t="str">
        <x:v>Margen operativo</x:v>
      </x:c>
      <x:c r="N1" s="29" t="str">
        <x:v>VE/EBITDA positivo</x:v>
      </x:c>
      <x:c r="O1" s="30" t="str">
        <x:v>VE/EBITDA todas</x:v>
      </x:c>
      <x:c r="P1" s="30" t="str">
        <x:v>VE/EBIT</x:v>
      </x:c>
    </x:row>
    <x:row r="2">
      <x:c r="A2" s="9" t="str">
        <x:v>Advertising</x:v>
      </x:c>
      <x:c r="B2" s="9" t="str">
        <x:v>Medios y publicidad</x:v>
      </x:c>
      <x:c r="C2" s="9" t="str">
        <x:v>VE/EBITDA y VE/ventas</x:v>
      </x:c>
      <x:c r="D2" s="10" t="n">
        <x:v>52</x:v>
      </x:c>
      <x:c r="E2" s="31" t="n">
        <x:v>0.788461538461538</x:v>
      </x:c>
      <x:c r="F2" s="13" t="n">
        <x:v>132.235656720965</x:v>
      </x:c>
      <x:c r="G2" s="13" t="n">
        <x:v>44.4333528841067</x:v>
      </x:c>
      <x:c r="H2" s="13" t="n">
        <x:v>52.8720575347719</x:v>
      </x:c>
      <x:c r="I2" s="13" t="n">
        <x:v>4.5512149974569</x:v>
      </x:c>
      <x:c r="J2" s="31" t="n">
        <x:v>-0.0134225663007202</x:v>
      </x:c>
      <x:c r="K2" s="13" t="n">
        <x:v>1.64259685874548</x:v>
      </x:c>
      <x:c r="L2" s="13" t="n">
        <x:v>2.12489448233471</x:v>
      </x:c>
      <x:c r="M2" s="31" t="n">
        <x:v>0.100458062287439</x:v>
      </x:c>
      <x:c r="N2" s="13" t="n">
        <x:v>11.9986450750355</x:v>
      </x:c>
      <x:c r="O2" s="32" t="n">
        <x:v>15.1181601697913</x:v>
      </x:c>
      <x:c r="P2" s="32" t="n">
        <x:v>20.9087155338744</x:v>
      </x:c>
    </x:row>
    <x:row r="3">
      <x:c r="A3" s="9" t="str">
        <x:v>Aerospace/Defense</x:v>
      </x:c>
      <x:c r="B3" s="9" t="str">
        <x:v>Otros</x:v>
      </x:c>
      <x:c r="C3" s="9" t="str">
        <x:v>VE/EBITDA</x:v>
      </x:c>
      <x:c r="D3" s="10" t="n">
        <x:v>79</x:v>
      </x:c>
      <x:c r="E3" s="31" t="n">
        <x:v>0.506329113924051</x:v>
      </x:c>
      <x:c r="F3" s="13" t="n">
        <x:v>118.002856544685</x:v>
      </x:c>
      <x:c r="G3" s="13" t="n">
        <x:v>92.8003153479277</x:v>
      </x:c>
      <x:c r="H3" s="13" t="n">
        <x:v>45.8673104903889</x:v>
      </x:c>
      <x:c r="I3" s="13" t="n">
        <x:v>7.88046050432496</x:v>
      </x:c>
      <x:c r="J3" s="31" t="n">
        <x:v>0.1526898724988</x:v>
      </x:c>
      <x:c r="K3" s="13" t="n">
        <x:v>3.17271914509902</x:v>
      </x:c>
      <x:c r="L3" s="13" t="n">
        <x:v>3.57070658190899</x:v>
      </x:c>
      <x:c r="M3" s="31" t="n">
        <x:v>0.0869676252936664</x:v>
      </x:c>
      <x:c r="N3" s="13" t="n">
        <x:v>21.5839127651814</x:v>
      </x:c>
      <x:c r="O3" s="32" t="n">
        <x:v>33.4166927513403</x:v>
      </x:c>
      <x:c r="P3" s="32" t="n">
        <x:v>34.7879262062014</x:v>
      </x:c>
    </x:row>
    <x:row r="4">
      <x:c r="A4" s="9" t="str">
        <x:v>Air Transport</x:v>
      </x:c>
      <x:c r="B4" s="9" t="str">
        <x:v>Turismo y ocio</x:v>
      </x:c>
      <x:c r="C4" s="9" t="str">
        <x:v>VE/EBITDA</x:v>
      </x:c>
      <x:c r="D4" s="10" t="n">
        <x:v>23</x:v>
      </x:c>
      <x:c r="E4" s="31" t="n">
        <x:v>0.608695652173913</x:v>
      </x:c>
      <x:c r="F4" s="13" t="n">
        <x:v>15.5458575769558</x:v>
      </x:c>
      <x:c r="G4" s="13" t="n">
        <x:v>18.3215466666163</x:v>
      </x:c>
      <x:c r="H4" s="13" t="n">
        <x:v>11.3660975721779</x:v>
      </x:c>
      <x:c r="I4" s="13" t="n">
        <x:v>2.84142284844587</x:v>
      </x:c>
      <x:c r="J4" s="31" t="n">
        <x:v>0.141948407860956</x:v>
      </x:c>
      <x:c r="K4" s="13" t="n">
        <x:v>0.577720431069118</x:v>
      </x:c>
      <x:c r="L4" s="13" t="n">
        <x:v>1.02595492245027</x:v>
      </x:c>
      <x:c r="M4" s="31" t="n">
        <x:v>0.0488095163394402</x:v>
      </x:c>
      <x:c r="N4" s="13" t="n">
        <x:v>7.57525768425806</x:v>
      </x:c>
      <x:c r="O4" s="32" t="n">
        <x:v>9.99346519052139</x:v>
      </x:c>
      <x:c r="P4" s="32" t="n">
        <x:v>19.3186897431579</x:v>
      </x:c>
    </x:row>
    <x:row r="5">
      <x:c r="A5" s="9" t="str">
        <x:v>Apparel</x:v>
      </x:c>
      <x:c r="B5" s="9" t="str">
        <x:v>Otros</x:v>
      </x:c>
      <x:c r="C5" s="9" t="str">
        <x:v>VE/EBITDA</x:v>
      </x:c>
      <x:c r="D5" s="10" t="n">
        <x:v>35</x:v>
      </x:c>
      <x:c r="E5" s="31" t="n">
        <x:v>0.628571428571429</x:v>
      </x:c>
      <x:c r="F5" s="13" t="n">
        <x:v>82.099381125935</x:v>
      </x:c>
      <x:c r="G5" s="13" t="n">
        <x:v>37.8279863891114</x:v>
      </x:c>
      <x:c r="H5" s="13" t="n">
        <x:v>24.8872385247653</x:v>
      </x:c>
      <x:c r="I5" s="13" t="n">
        <x:v>3.89395278496113</x:v>
      </x:c>
      <x:c r="J5" s="31" t="n">
        <x:v>0.104207714372904</x:v>
      </x:c>
      <x:c r="K5" s="13" t="n">
        <x:v>1.27284633347694</x:v>
      </x:c>
      <x:c r="L5" s="13" t="n">
        <x:v>1.59420982141301</x:v>
      </x:c>
      <x:c r="M5" s="31" t="n">
        <x:v>0.0988697305822522</x:v>
      </x:c>
      <x:c r="N5" s="13" t="n">
        <x:v>10.3048863218164</x:v>
      </x:c>
      <x:c r="O5" s="32" t="n">
        <x:v>13.8939295997097</x:v>
      </x:c>
      <x:c r="P5" s="32" t="n">
        <x:v>16.0865215688251</x:v>
      </x:c>
    </x:row>
    <x:row r="6">
      <x:c r="A6" s="9" t="str">
        <x:v>Auto &amp; Truck</x:v>
      </x:c>
      <x:c r="B6" s="9" t="str">
        <x:v>Otros</x:v>
      </x:c>
      <x:c r="C6" s="9" t="str">
        <x:v>VE/EBITDA</x:v>
      </x:c>
      <x:c r="D6" s="10" t="n">
        <x:v>33</x:v>
      </x:c>
      <x:c r="E6" s="31" t="n">
        <x:v>0.818181818181818</x:v>
      </x:c>
      <x:c r="F6" s="13" t="n">
        <x:v>44.591219685175</x:v>
      </x:c>
      <x:c r="G6" s="13" t="n">
        <x:v>64.3203107630421</x:v>
      </x:c>
      <x:c r="H6" s="13" t="n">
        <x:v>49.0404143673793</x:v>
      </x:c>
      <x:c r="I6" s="13" t="n">
        <x:v>7.72473180211962</x:v>
      </x:c>
      <x:c r="J6" s="31" t="n">
        <x:v>0.0315932252002621</x:v>
      </x:c>
      <x:c r="K6" s="13" t="n">
        <x:v>3.34410714459072</x:v>
      </x:c>
      <x:c r="L6" s="13" t="n">
        <x:v>3.88302042688502</x:v>
      </x:c>
      <x:c r="M6" s="31" t="n">
        <x:v>0.0238271099149919</x:v>
      </x:c>
      <x:c r="N6" s="13" t="n">
        <x:v>47.7558424288081</x:v>
      </x:c>
      <x:c r="O6" s="32" t="n">
        <x:v>51.8470581822306</x:v>
      </x:c>
      <x:c r="P6" s="32" t="n">
        <x:v>160.316255319321</x:v>
      </x:c>
    </x:row>
    <x:row r="7">
      <x:c r="A7" s="9" t="str">
        <x:v>Auto Parts</x:v>
      </x:c>
      <x:c r="B7" s="9" t="str">
        <x:v>Otros</x:v>
      </x:c>
      <x:c r="C7" s="9" t="str">
        <x:v>VE/EBITDA</x:v>
      </x:c>
      <x:c r="D7" s="10" t="n">
        <x:v>35</x:v>
      </x:c>
      <x:c r="E7" s="31" t="n">
        <x:v>0.485714285714286</x:v>
      </x:c>
      <x:c r="F7" s="13" t="n">
        <x:v>27.8454410928467</x:v>
      </x:c>
      <x:c r="G7" s="13" t="n">
        <x:v>28.0729769483602</x:v>
      </x:c>
      <x:c r="H7" s="13" t="n">
        <x:v>15.1250093499404</x:v>
      </x:c>
      <x:c r="I7" s="13" t="n">
        <x:v>1.86545539853707</x:v>
      </x:c>
      <x:c r="J7" s="31" t="n">
        <x:v>0.0217414882119127</x:v>
      </x:c>
      <x:c r="K7" s="13" t="n">
        <x:v>0.642339498341254</x:v>
      </x:c>
      <x:c r="L7" s="13" t="n">
        <x:v>0.822835978588616</x:v>
      </x:c>
      <x:c r="M7" s="31" t="n">
        <x:v>0.0580458811269045</x:v>
      </x:c>
      <x:c r="N7" s="13" t="n">
        <x:v>6.4280939850502</x:v>
      </x:c>
      <x:c r="O7" s="32" t="n">
        <x:v>9.10709523395194</x:v>
      </x:c>
      <x:c r="P7" s="32" t="n">
        <x:v>12.3828690407349</x:v>
      </x:c>
    </x:row>
    <x:row r="8">
      <x:c r="A8" s="9" t="str">
        <x:v>Bank (Money Center)</x:v>
      </x:c>
      <x:c r="B8" s="9" t="str">
        <x:v>Financiero</x:v>
      </x:c>
      <x:c r="C8" s="9" t="str">
        <x:v>P/VC y PER</x:v>
      </x:c>
      <x:c r="D8" s="10" t="n">
        <x:v>15</x:v>
      </x:c>
      <x:c r="E8" s="31" t="n">
        <x:v>0.0666666666666667</x:v>
      </x:c>
      <x:c r="F8" s="13" t="n">
        <x:v>17.5762277895458</x:v>
      </x:c>
      <x:c r="G8" s="13" t="n">
        <x:v>14.9510361752873</x:v>
      </x:c>
      <x:c r="H8" s="13" t="n">
        <x:v>13.0435191601239</x:v>
      </x:c>
      <x:c r="I8" s="13" t="n">
        <x:v>1.62232963785738</x:v>
      </x:c>
      <x:c r="J8" s="31" t="n">
        <x:v>0.128603342217494</x:v>
      </x:c>
      <x:c r="K8" s="13" t="n">
        <x:v>4.0936392297248</x:v>
      </x:c>
      <x:c r="L8" s="13" t="n">
        <x:v>8.30955725045144</x:v>
      </x:c>
      <x:c r="M8" s="31" t="n">
        <x:v>0.000775080143747161</x:v>
      </x:c>
      <x:c r="N8" s="13" t="str">
        <x:v>NA</x:v>
      </x:c>
      <x:c r="O8" s="32" t="str">
        <x:v>NA</x:v>
      </x:c>
      <x:c r="P8" s="32" t="str">
        <x:v>NA</x:v>
      </x:c>
    </x:row>
    <x:row r="9">
      <x:c r="A9" s="9" t="str">
        <x:v>Banks (Regional)</x:v>
      </x:c>
      <x:c r="B9" s="9" t="str">
        <x:v>Financiero</x:v>
      </x:c>
      <x:c r="C9" s="9" t="str">
        <x:v>P/VC y PER</x:v>
      </x:c>
      <x:c r="D9" s="10" t="n">
        <x:v>568</x:v>
      </x:c>
      <x:c r="E9" s="31" t="n">
        <x:v>0.140845070422535</x:v>
      </x:c>
      <x:c r="F9" s="13" t="n">
        <x:v>34.7392023297616</x:v>
      </x:c>
      <x:c r="G9" s="13" t="n">
        <x:v>33.6015176514786</x:v>
      </x:c>
      <x:c r="H9" s="13" t="n">
        <x:v>11.0025149824929</x:v>
      </x:c>
      <x:c r="I9" s="13" t="n">
        <x:v>1.13803540846539</x:v>
      </x:c>
      <x:c r="J9" s="31" t="n">
        <x:v>0.097543187618609</x:v>
      </x:c>
      <x:c r="K9" s="13" t="n">
        <x:v>3.6741984603361</x:v>
      </x:c>
      <x:c r="L9" s="13" t="n">
        <x:v>4.27627225241907</x:v>
      </x:c>
      <x:c r="M9" s="31" t="n">
        <x:v>-0.00120570210943493</x:v>
      </x:c>
      <x:c r="N9" s="13" t="str">
        <x:v>NA</x:v>
      </x:c>
      <x:c r="O9" s="32" t="str">
        <x:v>NA</x:v>
      </x:c>
      <x:c r="P9" s="32" t="str">
        <x:v>NA</x:v>
      </x:c>
    </x:row>
    <x:row r="10">
      <x:c r="A10" s="9" t="str">
        <x:v>Beverage (Alcoholic)</x:v>
      </x:c>
      <x:c r="B10" s="9" t="str">
        <x:v>Consumo</x:v>
      </x:c>
      <x:c r="C10" s="9" t="str">
        <x:v>VE/EBITDA y VE/ventas</x:v>
      </x:c>
      <x:c r="D10" s="10" t="n">
        <x:v>14</x:v>
      </x:c>
      <x:c r="E10" s="31" t="n">
        <x:v>0.642857142857143</x:v>
      </x:c>
      <x:c r="F10" s="13" t="n">
        <x:v>34.9699254390457</x:v>
      </x:c>
      <x:c r="G10" s="13" t="n">
        <x:v>28.2962993211533</x:v>
      </x:c>
      <x:c r="H10" s="13" t="n">
        <x:v>12.8404366478364</x:v>
      </x:c>
      <x:c r="I10" s="13" t="n">
        <x:v>1.91410664462744</x:v>
      </x:c>
      <x:c r="J10" s="31" t="n">
        <x:v>0.0056819180842404</x:v>
      </x:c>
      <x:c r="K10" s="13" t="n">
        <x:v>1.75350783687461</x:v>
      </x:c>
      <x:c r="L10" s="13" t="n">
        <x:v>2.45391989500276</x:v>
      </x:c>
      <x:c r="M10" s="31" t="n">
        <x:v>0.227872809903391</x:v>
      </x:c>
      <x:c r="N10" s="13" t="n">
        <x:v>8.60547949225314</x:v>
      </x:c>
      <x:c r="O10" s="32" t="n">
        <x:v>8.31202992830851</x:v>
      </x:c>
      <x:c r="P10" s="32" t="n">
        <x:v>10.7523552310856</x:v>
      </x:c>
    </x:row>
    <x:row r="11">
      <x:c r="A11" s="9" t="str">
        <x:v>Beverage (Soft)</x:v>
      </x:c>
      <x:c r="B11" s="9" t="str">
        <x:v>Consumo</x:v>
      </x:c>
      <x:c r="C11" s="9" t="str">
        <x:v>VE/EBITDA y VE/ventas</x:v>
      </x:c>
      <x:c r="D11" s="10" t="n">
        <x:v>27</x:v>
      </x:c>
      <x:c r="E11" s="31" t="n">
        <x:v>0.703703703703704</x:v>
      </x:c>
      <x:c r="F11" s="13" t="n">
        <x:v>37.113360644189</x:v>
      </x:c>
      <x:c r="G11" s="13" t="n">
        <x:v>47.7637595217202</x:v>
      </x:c>
      <x:c r="H11" s="13" t="n">
        <x:v>23.6967654296752</x:v>
      </x:c>
      <x:c r="I11" s="13" t="n">
        <x:v>6.86906054004121</x:v>
      </x:c>
      <x:c r="J11" s="31" t="n">
        <x:v>0.309155850955302</x:v>
      </x:c>
      <x:c r="K11" s="13" t="n">
        <x:v>3.56933559836452</x:v>
      </x:c>
      <x:c r="L11" s="13" t="n">
        <x:v>4.15611345049338</x:v>
      </x:c>
      <x:c r="M11" s="31" t="n">
        <x:v>0.2062919202705</x:v>
      </x:c>
      <x:c r="N11" s="13" t="n">
        <x:v>16.9042449702308</x:v>
      </x:c>
      <x:c r="O11" s="32" t="n">
        <x:v>18.241136747311</x:v>
      </x:c>
      <x:c r="P11" s="32" t="n">
        <x:v>20.1405703123803</x:v>
      </x:c>
    </x:row>
    <x:row r="12">
      <x:c r="A12" s="9" t="str">
        <x:v>Broadcasting</x:v>
      </x:c>
      <x:c r="B12" s="9" t="str">
        <x:v>Medios y publicidad</x:v>
      </x:c>
      <x:c r="C12" s="9" t="str">
        <x:v>VE/EBITDA y VE/ventas</x:v>
      </x:c>
      <x:c r="D12" s="10" t="n">
        <x:v>24</x:v>
      </x:c>
      <x:c r="E12" s="31" t="n">
        <x:v>0.708333333333333</x:v>
      </x:c>
      <x:c r="F12" s="13" t="n">
        <x:v>6.38407372297609</x:v>
      </x:c>
      <x:c r="G12" s="13" t="n">
        <x:v>44.7592195956879</x:v>
      </x:c>
      <x:c r="H12" s="13" t="n">
        <x:v>17.496380154412</x:v>
      </x:c>
      <x:c r="I12" s="13" t="n">
        <x:v>1.66472159178075</x:v>
      </x:c>
      <x:c r="J12" s="31" t="n">
        <x:v>0.0398524966167588</x:v>
      </x:c>
      <x:c r="K12" s="13" t="n">
        <x:v>0.826502444338248</x:v>
      </x:c>
      <x:c r="L12" s="13" t="n">
        <x:v>1.39514042832526</x:v>
      </x:c>
      <x:c r="M12" s="31" t="n">
        <x:v>0.123488680219871</x:v>
      </x:c>
      <x:c r="N12" s="13" t="n">
        <x:v>7.84701463710848</x:v>
      </x:c>
      <x:c r="O12" s="32" t="n">
        <x:v>7.66018597010944</x:v>
      </x:c>
      <x:c r="P12" s="32" t="n">
        <x:v>11.1583966089177</x:v>
      </x:c>
    </x:row>
    <x:row r="13">
      <x:c r="A13" s="9" t="str">
        <x:v>Brokerage &amp; Investment Banking</x:v>
      </x:c>
      <x:c r="B13" s="9" t="str">
        <x:v>Financiero</x:v>
      </x:c>
      <x:c r="C13" s="9" t="str">
        <x:v>P/VC y PER</x:v>
      </x:c>
      <x:c r="D13" s="10" t="n">
        <x:v>32</x:v>
      </x:c>
      <x:c r="E13" s="31" t="n">
        <x:v>0.21875</x:v>
      </x:c>
      <x:c r="F13" s="13" t="n">
        <x:v>26.8138518735232</x:v>
      </x:c>
      <x:c r="G13" s="13" t="n">
        <x:v>86.5419089817171</x:v>
      </x:c>
      <x:c r="H13" s="13" t="n">
        <x:v>19.8576684230891</x:v>
      </x:c>
      <x:c r="I13" s="13" t="n">
        <x:v>2.80859185631856</x:v>
      </x:c>
      <x:c r="J13" s="31" t="n">
        <x:v>0.17767908407709</x:v>
      </x:c>
      <x:c r="K13" s="13" t="n">
        <x:v>2.8710147299026</x:v>
      </x:c>
      <x:c r="L13" s="13" t="n">
        <x:v>5.78226039584532</x:v>
      </x:c>
      <x:c r="M13" s="31" t="n">
        <x:v>-0.00118344236051465</x:v>
      </x:c>
      <x:c r="N13" s="13" t="str">
        <x:v>NA</x:v>
      </x:c>
      <x:c r="O13" s="32" t="str">
        <x:v>NA</x:v>
      </x:c>
      <x:c r="P13" s="32" t="str">
        <x:v>NA</x:v>
      </x:c>
    </x:row>
    <x:row r="14">
      <x:c r="A14" s="9" t="str">
        <x:v>Building Materials</x:v>
      </x:c>
      <x:c r="B14" s="9" t="str">
        <x:v>Otros</x:v>
      </x:c>
      <x:c r="C14" s="9" t="str">
        <x:v>VE/EBITDA</x:v>
      </x:c>
      <x:c r="D14" s="10" t="n">
        <x:v>41</x:v>
      </x:c>
      <x:c r="E14" s="31" t="n">
        <x:v>0.292682926829268</x:v>
      </x:c>
      <x:c r="F14" s="13" t="n">
        <x:v>21.062070527322</x:v>
      </x:c>
      <x:c r="G14" s="13" t="n">
        <x:v>32.7984640104487</x:v>
      </x:c>
      <x:c r="H14" s="13" t="n">
        <x:v>18.3916626407003</x:v>
      </x:c>
      <x:c r="I14" s="13" t="n">
        <x:v>3.61632689588609</x:v>
      </x:c>
      <x:c r="J14" s="31" t="n">
        <x:v>0.159976177620764</x:v>
      </x:c>
      <x:c r="K14" s="13" t="n">
        <x:v>1.67689164914301</x:v>
      </x:c>
      <x:c r="L14" s="13" t="n">
        <x:v>2.04606122934126</x:v>
      </x:c>
      <x:c r="M14" s="31" t="n">
        <x:v>0.127974045001709</x:v>
      </x:c>
      <x:c r="N14" s="13" t="n">
        <x:v>11.6070411419935</x:v>
      </x:c>
      <x:c r="O14" s="32" t="n">
        <x:v>11.8130067930583</x:v>
      </x:c>
      <x:c r="P14" s="32" t="n">
        <x:v>15.9746010471706</x:v>
      </x:c>
    </x:row>
    <x:row r="15">
      <x:c r="A15" s="9" t="str">
        <x:v>Business &amp; Consumer Services</x:v>
      </x:c>
      <x:c r="B15" s="9" t="str">
        <x:v>Otros</x:v>
      </x:c>
      <x:c r="C15" s="9" t="str">
        <x:v>VE/EBITDA</x:v>
      </x:c>
      <x:c r="D15" s="10" t="n">
        <x:v>155</x:v>
      </x:c>
      <x:c r="E15" s="31" t="n">
        <x:v>0.567741935483871</x:v>
      </x:c>
      <x:c r="F15" s="13" t="n">
        <x:v>35.4267599991774</x:v>
      </x:c>
      <x:c r="G15" s="13" t="n">
        <x:v>36.3966253358683</x:v>
      </x:c>
      <x:c r="H15" s="13" t="n">
        <x:v>18.7039567035367</x:v>
      </x:c>
      <x:c r="I15" s="13" t="n">
        <x:v>5.29941536704329</x:v>
      </x:c>
      <x:c r="J15" s="31" t="n">
        <x:v>0.181957619200898</x:v>
      </x:c>
      <x:c r="K15" s="13" t="n">
        <x:v>2.20171486106291</x:v>
      </x:c>
      <x:c r="L15" s="13" t="n">
        <x:v>2.52973271189367</x:v>
      </x:c>
      <x:c r="M15" s="31" t="n">
        <x:v>0.123204501981193</x:v>
      </x:c>
      <x:c r="N15" s="13" t="n">
        <x:v>14.2571639782969</x:v>
      </x:c>
      <x:c r="O15" s="32" t="n">
        <x:v>16.1685944042637</x:v>
      </x:c>
      <x:c r="P15" s="32" t="n">
        <x:v>20.1455729619879</x:v>
      </x:c>
    </x:row>
    <x:row r="16">
      <x:c r="A16" s="9" t="str">
        <x:v>Cable TV</x:v>
      </x:c>
      <x:c r="B16" s="9" t="str">
        <x:v>Otros</x:v>
      </x:c>
      <x:c r="C16" s="9" t="str">
        <x:v>VE/EBITDA</x:v>
      </x:c>
      <x:c r="D16" s="10" t="n">
        <x:v>9</x:v>
      </x:c>
      <x:c r="E16" s="31" t="n">
        <x:v>0.444444444444444</x:v>
      </x:c>
      <x:c r="F16" s="13" t="n">
        <x:v>13.7452443844332</x:v>
      </x:c>
      <x:c r="G16" s="13" t="n">
        <x:v>6.10479523695199</x:v>
      </x:c>
      <x:c r="H16" s="13" t="n">
        <x:v>9.21466534517907</x:v>
      </x:c>
      <x:c r="I16" s="13" t="n">
        <x:v>1.31319973500008</x:v>
      </x:c>
      <x:c r="J16" s="31" t="n">
        <x:v>0.110598190324784</x:v>
      </x:c>
      <x:c r="K16" s="13" t="n">
        <x:v>0.857150506115678</x:v>
      </x:c>
      <x:c r="L16" s="13" t="n">
        <x:v>2.05548552564958</x:v>
      </x:c>
      <x:c r="M16" s="31" t="n">
        <x:v>0.182421220123596</x:v>
      </x:c>
      <x:c r="N16" s="13" t="n">
        <x:v>6.20776638155076</x:v>
      </x:c>
      <x:c r="O16" s="32" t="n">
        <x:v>6.35018706233832</x:v>
      </x:c>
      <x:c r="P16" s="32" t="n">
        <x:v>11.2674625663209</x:v>
      </x:c>
    </x:row>
    <x:row r="17">
      <x:c r="A17" s="9" t="str">
        <x:v>Chemical (Basic)</x:v>
      </x:c>
      <x:c r="B17" s="9" t="str">
        <x:v>Otros</x:v>
      </x:c>
      <x:c r="C17" s="9" t="str">
        <x:v>VE/EBITDA</x:v>
      </x:c>
      <x:c r="D17" s="10" t="n">
        <x:v>29</x:v>
      </x:c>
      <x:c r="E17" s="31" t="n">
        <x:v>0.758620689655172</x:v>
      </x:c>
      <x:c r="F17" s="13" t="n">
        <x:v>14.0672086648722</x:v>
      </x:c>
      <x:c r="G17" s="13" t="n">
        <x:v>24.4205095931578</x:v>
      </x:c>
      <x:c r="H17" s="13" t="n">
        <x:v>22.8173670045375</x:v>
      </x:c>
      <x:c r="I17" s="13" t="n">
        <x:v>1.11719221556836</x:v>
      </x:c>
      <x:c r="J17" s="31" t="n">
        <x:v>-0.0828988873124604</x:v>
      </x:c>
      <x:c r="K17" s="13" t="n">
        <x:v>0.465460963763086</x:v>
      </x:c>
      <x:c r="L17" s="13" t="n">
        <x:v>0.845219020084456</x:v>
      </x:c>
      <x:c r="M17" s="31" t="n">
        <x:v>0.0285788252177504</x:v>
      </x:c>
      <x:c r="N17" s="13" t="n">
        <x:v>8.56734060962358</x:v>
      </x:c>
      <x:c r="O17" s="32" t="n">
        <x:v>6.85035481473053</x:v>
      </x:c>
      <x:c r="P17" s="32" t="n">
        <x:v>28.9765259152609</x:v>
      </x:c>
    </x:row>
    <x:row r="18">
      <x:c r="A18" s="9" t="str">
        <x:v>Chemical (Diversified)</x:v>
      </x:c>
      <x:c r="B18" s="9" t="str">
        <x:v>Otros</x:v>
      </x:c>
      <x:c r="C18" s="9" t="str">
        <x:v>VE/EBITDA</x:v>
      </x:c>
      <x:c r="D18" s="10" t="n">
        <x:v>4</x:v>
      </x:c>
      <x:c r="E18" s="31" t="n">
        <x:v>1</x:v>
      </x:c>
      <x:c r="F18" s="13" t="n">
        <x:v>20.5488372093023</x:v>
      </x:c>
      <x:c r="G18" s="13" t="str">
        <x:v>NA</x:v>
      </x:c>
      <x:c r="H18" s="13" t="n">
        <x:v>14.1696589462547</x:v>
      </x:c>
      <x:c r="I18" s="13" t="n">
        <x:v>1.08345479000042</x:v>
      </x:c>
      <x:c r="J18" s="31" t="n">
        <x:v>-0.15302086015967</x:v>
      </x:c>
      <x:c r="K18" s="13" t="n">
        <x:v>0.337764480149959</x:v>
      </x:c>
      <x:c r="L18" s="13" t="n">
        <x:v>0.84169042598767</x:v>
      </x:c>
      <x:c r="M18" s="31" t="n">
        <x:v>0.0340669247893412</x:v>
      </x:c>
      <x:c r="N18" s="13" t="n">
        <x:v>8.38506013854751</x:v>
      </x:c>
      <x:c r="O18" s="32" t="n">
        <x:v>8.69538994457434</x:v>
      </x:c>
      <x:c r="P18" s="32" t="n">
        <x:v>24.6866517506939</x:v>
      </x:c>
    </x:row>
    <x:row r="19">
      <x:c r="A19" s="9" t="str">
        <x:v>Chemical (Specialty)</x:v>
      </x:c>
      <x:c r="B19" s="9" t="str">
        <x:v>Otros</x:v>
      </x:c>
      <x:c r="C19" s="9" t="str">
        <x:v>VE/EBITDA</x:v>
      </x:c>
      <x:c r="D19" s="10" t="n">
        <x:v>59</x:v>
      </x:c>
      <x:c r="E19" s="31" t="n">
        <x:v>0.593220338983051</x:v>
      </x:c>
      <x:c r="F19" s="13" t="n">
        <x:v>161.69765172474</x:v>
      </x:c>
      <x:c r="G19" s="13" t="n">
        <x:v>196.774089408346</x:v>
      </x:c>
      <x:c r="H19" s="13" t="n">
        <x:v>19.3248182908705</x:v>
      </x:c>
      <x:c r="I19" s="13" t="n">
        <x:v>2.44973973590539</x:v>
      </x:c>
      <x:c r="J19" s="31" t="n">
        <x:v>0.0349878539710556</x:v>
      </x:c>
      <x:c r="K19" s="13" t="n">
        <x:v>2.12142676897528</x:v>
      </x:c>
      <x:c r="L19" s="13" t="n">
        <x:v>2.64761454945452</x:v>
      </x:c>
      <x:c r="M19" s="31" t="n">
        <x:v>0.12407507162658</x:v>
      </x:c>
      <x:c r="N19" s="13" t="n">
        <x:v>13.3592610310568</x:v>
      </x:c>
      <x:c r="O19" s="32" t="n">
        <x:v>14.7016340765639</x:v>
      </x:c>
      <x:c r="P19" s="32" t="n">
        <x:v>21.3000417916942</x:v>
      </x:c>
    </x:row>
    <x:row r="20">
      <x:c r="A20" s="9" t="str">
        <x:v>Coal &amp; Related Energy</x:v>
      </x:c>
      <x:c r="B20" s="9" t="str">
        <x:v>Energía</x:v>
      </x:c>
      <x:c r="C20" s="9" t="str">
        <x:v>VE/EBITDA</x:v>
      </x:c>
      <x:c r="D20" s="10" t="n">
        <x:v>16</x:v>
      </x:c>
      <x:c r="E20" s="31" t="n">
        <x:v>0.8125</x:v>
      </x:c>
      <x:c r="F20" s="13" t="n">
        <x:v>23.8468258402161</x:v>
      </x:c>
      <x:c r="G20" s="13" t="n">
        <x:v>17.0075889370304</x:v>
      </x:c>
      <x:c r="H20" s="13" t="n">
        <x:v>34.3917648770551</x:v>
      </x:c>
      <x:c r="I20" s="13" t="n">
        <x:v>2.24732510404522</x:v>
      </x:c>
      <x:c r="J20" s="31" t="n">
        <x:v>-0.0251324071100055</x:v>
      </x:c>
      <x:c r="K20" s="13" t="n">
        <x:v>2.75421865308994</x:v>
      </x:c>
      <x:c r="L20" s="13" t="n">
        <x:v>2.53691569347451</x:v>
      </x:c>
      <x:c r="M20" s="31" t="n">
        <x:v>-0.0381559452363324</x:v>
      </x:c>
      <x:c r="N20" s="13" t="n">
        <x:v>10.3689962502683</x:v>
      </x:c>
      <x:c r="O20" s="32" t="n">
        <x:v>19.4516396216364</x:v>
      </x:c>
      <x:c r="P20" s="32" t="str">
        <x:v>NA</x:v>
      </x:c>
    </x:row>
    <x:row r="21">
      <x:c r="A21" s="9" t="str">
        <x:v>Computer Services</x:v>
      </x:c>
      <x:c r="B21" s="9" t="str">
        <x:v>Software y datos</x:v>
      </x:c>
      <x:c r="C21" s="9" t="str">
        <x:v>VE/ventas y VE/EBITDA</x:v>
      </x:c>
      <x:c r="D21" s="10" t="n">
        <x:v>64</x:v>
      </x:c>
      <x:c r="E21" s="31" t="n">
        <x:v>0.546875</x:v>
      </x:c>
      <x:c r="F21" s="13" t="n">
        <x:v>26.4516946716989</x:v>
      </x:c>
      <x:c r="G21" s="13" t="n">
        <x:v>51.599295050522</x:v>
      </x:c>
      <x:c r="H21" s="13" t="n">
        <x:v>56.5395255782581</x:v>
      </x:c>
      <x:c r="I21" s="13" t="n">
        <x:v>4.72826530799343</x:v>
      </x:c>
      <x:c r="J21" s="31" t="n">
        <x:v>0.182505922696127</x:v>
      </x:c>
      <x:c r="K21" s="13" t="n">
        <x:v>1.24030166042041</x:v>
      </x:c>
      <x:c r="L21" s="13" t="n">
        <x:v>1.4770942483991</x:v>
      </x:c>
      <x:c r="M21" s="31" t="n">
        <x:v>0.0762784446666107</x:v>
      </x:c>
      <x:c r="N21" s="13" t="n">
        <x:v>14.0950496947745</x:v>
      </x:c>
      <x:c r="O21" s="32" t="n">
        <x:v>16.455665822271</x:v>
      </x:c>
      <x:c r="P21" s="32" t="n">
        <x:v>19.2519854789986</x:v>
      </x:c>
    </x:row>
    <x:row r="22">
      <x:c r="A22" s="9" t="str">
        <x:v>Computers/Peripherals</x:v>
      </x:c>
      <x:c r="B22" s="9" t="str">
        <x:v>Otros</x:v>
      </x:c>
      <x:c r="C22" s="9" t="str">
        <x:v>VE/EBITDA</x:v>
      </x:c>
      <x:c r="D22" s="10" t="n">
        <x:v>36</x:v>
      </x:c>
      <x:c r="E22" s="31" t="n">
        <x:v>0.611111111111111</x:v>
      </x:c>
      <x:c r="F22" s="13" t="n">
        <x:v>80.9453264906077</x:v>
      </x:c>
      <x:c r="G22" s="13" t="n">
        <x:v>81.1319884247503</x:v>
      </x:c>
      <x:c r="H22" s="13" t="n">
        <x:v>36.1460821352791</x:v>
      </x:c>
      <x:c r="I22" s="13" t="n">
        <x:v>34.0820612254369</x:v>
      </x:c>
      <x:c r="J22" s="31" t="n">
        <x:v>-0.0017413160406025</x:v>
      </x:c>
      <x:c r="K22" s="13" t="n">
        <x:v>6.4315473273398</x:v>
      </x:c>
      <x:c r="L22" s="13" t="n">
        <x:v>6.62980318872859</x:v>
      </x:c>
      <x:c r="M22" s="31" t="n">
        <x:v>0.22489034296518</x:v>
      </x:c>
      <x:c r="N22" s="13" t="n">
        <x:v>25.4244916442558</x:v>
      </x:c>
      <x:c r="O22" s="32" t="n">
        <x:v>26.1833954751892</x:v>
      </x:c>
      <x:c r="P22" s="32" t="n">
        <x:v>29.3588813000931</x:v>
      </x:c>
    </x:row>
    <x:row r="23">
      <x:c r="A23" s="9" t="str">
        <x:v>Construction Supplies</x:v>
      </x:c>
      <x:c r="B23" s="9" t="str">
        <x:v>Construcción e ingeniería</x:v>
      </x:c>
      <x:c r="C23" s="9" t="str">
        <x:v>VE/EBITDA</x:v>
      </x:c>
      <x:c r="D23" s="10" t="n">
        <x:v>40</x:v>
      </x:c>
      <x:c r="E23" s="31" t="n">
        <x:v>0.3</x:v>
      </x:c>
      <x:c r="F23" s="13" t="n">
        <x:v>26.9569472496356</x:v>
      </x:c>
      <x:c r="G23" s="13" t="n">
        <x:v>42.7475702873854</x:v>
      </x:c>
      <x:c r="H23" s="13" t="n">
        <x:v>17.6866512448479</x:v>
      </x:c>
      <x:c r="I23" s="13" t="n">
        <x:v>5.4556033444932</x:v>
      </x:c>
      <x:c r="J23" s="31" t="n">
        <x:v>0.228556568268081</x:v>
      </x:c>
      <x:c r="K23" s="13" t="n">
        <x:v>2.83078207517831</x:v>
      </x:c>
      <x:c r="L23" s="13" t="n">
        <x:v>3.23177769600938</x:v>
      </x:c>
      <x:c r="M23" s="31" t="n">
        <x:v>0.152730308297873</x:v>
      </x:c>
      <x:c r="N23" s="13" t="n">
        <x:v>16.8186701282199</x:v>
      </x:c>
      <x:c r="O23" s="32" t="n">
        <x:v>16.6034500121488</x:v>
      </x:c>
      <x:c r="P23" s="32" t="n">
        <x:v>21.145401988792</x:v>
      </x:c>
    </x:row>
    <x:row r="24">
      <x:c r="A24" s="9" t="str">
        <x:v>Diversified</x:v>
      </x:c>
      <x:c r="B24" s="9" t="str">
        <x:v>Otros</x:v>
      </x:c>
      <x:c r="C24" s="9" t="str">
        <x:v>VE/EBITDA</x:v>
      </x:c>
      <x:c r="D24" s="10" t="n">
        <x:v>20</x:v>
      </x:c>
      <x:c r="E24" s="31" t="n">
        <x:v>0.8</x:v>
      </x:c>
      <x:c r="F24" s="13" t="n">
        <x:v>14.1348239672739</x:v>
      </x:c>
      <x:c r="G24" s="13" t="n">
        <x:v>15.7310037769029</x:v>
      </x:c>
      <x:c r="H24" s="13" t="n">
        <x:v>14.8806230732804</x:v>
      </x:c>
      <x:c r="I24" s="13" t="n">
        <x:v>1.78295416577319</x:v>
      </x:c>
      <x:c r="J24" s="31" t="n">
        <x:v>0.113732441357447</x:v>
      </x:c>
      <x:c r="K24" s="13" t="n">
        <x:v>2.84858795884163</x:v>
      </x:c>
      <x:c r="L24" s="13" t="n">
        <x:v>3.08014496854437</x:v>
      </x:c>
      <x:c r="M24" s="31" t="n">
        <x:v>0.228234420750008</x:v>
      </x:c>
      <x:c r="N24" s="13" t="n">
        <x:v>11.4154620948499</x:v>
      </x:c>
      <x:c r="O24" s="32" t="n">
        <x:v>9.84872181911866</x:v>
      </x:c>
      <x:c r="P24" s="32" t="n">
        <x:v>13.4864705888765</x:v>
      </x:c>
    </x:row>
    <x:row r="25">
      <x:c r="A25" s="9" t="str">
        <x:v>Drugs (Biotechnology)</x:v>
      </x:c>
      <x:c r="B25" s="9" t="str">
        <x:v>Salud</x:v>
      </x:c>
      <x:c r="C25" s="9" t="str">
        <x:v>VE/ventas y VE/EBITDA</x:v>
      </x:c>
      <x:c r="D25" s="10" t="n">
        <x:v>496</x:v>
      </x:c>
      <x:c r="E25" s="31" t="n">
        <x:v>0.895161290322581</x:v>
      </x:c>
      <x:c r="F25" s="13" t="n">
        <x:v>109.265145336958</x:v>
      </x:c>
      <x:c r="G25" s="13" t="n">
        <x:v>64.2755567784317</x:v>
      </x:c>
      <x:c r="H25" s="13" t="n">
        <x:v>63.7588621440246</x:v>
      </x:c>
      <x:c r="I25" s="13" t="n">
        <x:v>8.21686375169774</x:v>
      </x:c>
      <x:c r="J25" s="31" t="n">
        <x:v>-0.0567224880686716</x:v>
      </x:c>
      <x:c r="K25" s="13" t="n">
        <x:v>7.31166120460382</x:v>
      </x:c>
      <x:c r="L25" s="13" t="n">
        <x:v>7.91804552620524</x:v>
      </x:c>
      <x:c r="M25" s="31" t="n">
        <x:v>0.0876062859394876</x:v>
      </x:c>
      <x:c r="N25" s="13" t="n">
        <x:v>15.7789716028124</x:v>
      </x:c>
      <x:c r="O25" s="32" t="n">
        <x:v>51.4942864948088</x:v>
      </x:c>
      <x:c r="P25" s="32" t="n">
        <x:v>68.9713213516536</x:v>
      </x:c>
    </x:row>
    <x:row r="26">
      <x:c r="A26" s="9" t="str">
        <x:v>Drugs (Pharmaceutical)</x:v>
      </x:c>
      <x:c r="B26" s="9" t="str">
        <x:v>Salud</x:v>
      </x:c>
      <x:c r="C26" s="9" t="str">
        <x:v>VE/ventas y VE/EBITDA</x:v>
      </x:c>
      <x:c r="D26" s="10" t="n">
        <x:v>228</x:v>
      </x:c>
      <x:c r="E26" s="31" t="n">
        <x:v>0.846491228070175</x:v>
      </x:c>
      <x:c r="F26" s="13" t="n">
        <x:v>335.266280136348</x:v>
      </x:c>
      <x:c r="G26" s="13" t="n">
        <x:v>55.667674074615</x:v>
      </x:c>
      <x:c r="H26" s="13" t="n">
        <x:v>24.1877513935209</x:v>
      </x:c>
      <x:c r="I26" s="13" t="n">
        <x:v>6.64396392026399</x:v>
      </x:c>
      <x:c r="J26" s="31" t="n">
        <x:v>0.240440995734327</x:v>
      </x:c>
      <x:c r="K26" s="13" t="n">
        <x:v>5.62523531342163</x:v>
      </x:c>
      <x:c r="L26" s="13" t="n">
        <x:v>6.23933628446954</x:v>
      </x:c>
      <x:c r="M26" s="31" t="n">
        <x:v>0.295443503779666</x:v>
      </x:c>
      <x:c r="N26" s="13" t="n">
        <x:v>15.2479968084265</x:v>
      </x:c>
      <x:c r="O26" s="32" t="n">
        <x:v>18.5769329429038</x:v>
      </x:c>
      <x:c r="P26" s="32" t="n">
        <x:v>20.3231674120873</x:v>
      </x:c>
    </x:row>
    <x:row r="27">
      <x:c r="A27" s="9" t="str">
        <x:v>Education</x:v>
      </x:c>
      <x:c r="B27" s="9" t="str">
        <x:v>Otros</x:v>
      </x:c>
      <x:c r="C27" s="9" t="str">
        <x:v>VE/EBITDA</x:v>
      </x:c>
      <x:c r="D27" s="10" t="n">
        <x:v>32</x:v>
      </x:c>
      <x:c r="E27" s="31" t="n">
        <x:v>0.5</x:v>
      </x:c>
      <x:c r="F27" s="13" t="n">
        <x:v>27.5959879206945</x:v>
      </x:c>
      <x:c r="G27" s="13" t="n">
        <x:v>26.9657847119661</x:v>
      </x:c>
      <x:c r="H27" s="13" t="n">
        <x:v>18.1146731515823</x:v>
      </x:c>
      <x:c r="I27" s="13" t="n">
        <x:v>2.60328666150944</x:v>
      </x:c>
      <x:c r="J27" s="31" t="n">
        <x:v>0.159048392021465</x:v>
      </x:c>
      <x:c r="K27" s="13" t="n">
        <x:v>1.74410402802769</x:v>
      </x:c>
      <x:c r="L27" s="13" t="n">
        <x:v>1.99021381217448</x:v>
      </x:c>
      <x:c r="M27" s="31" t="n">
        <x:v>0.135416946607311</x:v>
      </x:c>
      <x:c r="N27" s="13" t="n">
        <x:v>9.26128390279208</x:v>
      </x:c>
      <x:c r="O27" s="32" t="n">
        <x:v>12.0144181852</x:v>
      </x:c>
      <x:c r="P27" s="32" t="n">
        <x:v>14.4868779770373</x:v>
      </x:c>
    </x:row>
    <x:row r="28">
      <x:c r="A28" s="9" t="str">
        <x:v>Electrical Equipment</x:v>
      </x:c>
      <x:c r="B28" s="9" t="str">
        <x:v>Otros</x:v>
      </x:c>
      <x:c r="C28" s="9" t="str">
        <x:v>VE/EBITDA</x:v>
      </x:c>
      <x:c r="D28" s="10" t="n">
        <x:v>112</x:v>
      </x:c>
      <x:c r="E28" s="31" t="n">
        <x:v>0.75</x:v>
      </x:c>
      <x:c r="F28" s="13" t="n">
        <x:v>76.4432507797953</x:v>
      </x:c>
      <x:c r="G28" s="13" t="n">
        <x:v>80.0396116593639</x:v>
      </x:c>
      <x:c r="H28" s="13" t="n">
        <x:v>29.609030665378</x:v>
      </x:c>
      <x:c r="I28" s="13" t="n">
        <x:v>6.50673164104564</x:v>
      </x:c>
      <x:c r="J28" s="31" t="n">
        <x:v>0.0152545444037303</x:v>
      </x:c>
      <x:c r="K28" s="13" t="n">
        <x:v>4.09145958537456</x:v>
      </x:c>
      <x:c r="L28" s="13" t="n">
        <x:v>4.42075488337302</x:v>
      </x:c>
      <x:c r="M28" s="31" t="n">
        <x:v>0.0975124706576117</x:v>
      </x:c>
      <x:c r="N28" s="13" t="n">
        <x:v>24.5863041334672</x:v>
      </x:c>
      <x:c r="O28" s="32" t="n">
        <x:v>34.9532027414816</x:v>
      </x:c>
      <x:c r="P28" s="32" t="n">
        <x:v>43.1933182285843</x:v>
      </x:c>
    </x:row>
    <x:row r="29">
      <x:c r="A29" s="9" t="str">
        <x:v>Electronics (Consumer &amp; Office)</x:v>
      </x:c>
      <x:c r="B29" s="9" t="str">
        <x:v>Otros</x:v>
      </x:c>
      <x:c r="C29" s="9" t="str">
        <x:v>VE/EBITDA</x:v>
      </x:c>
      <x:c r="D29" s="10" t="n">
        <x:v>8</x:v>
      </x:c>
      <x:c r="E29" s="31" t="n">
        <x:v>1</x:v>
      </x:c>
      <x:c r="F29" s="13" t="str">
        <x:v>NA</x:v>
      </x:c>
      <x:c r="G29" s="13" t="str">
        <x:v>NA</x:v>
      </x:c>
      <x:c r="H29" s="13" t="n">
        <x:v>19.5111111111111</x:v>
      </x:c>
      <x:c r="I29" s="13" t="n">
        <x:v>3.85203290618573</x:v>
      </x:c>
      <x:c r="J29" s="31" t="n">
        <x:v>-0.288092795326437</x:v>
      </x:c>
      <x:c r="K29" s="13" t="n">
        <x:v>0.960978632377434</x:v>
      </x:c>
      <x:c r="L29" s="13" t="n">
        <x:v>0.909833485966633</x:v>
      </x:c>
      <x:c r="M29" s="31" t="n">
        <x:v>-0.042514661862156</x:v>
      </x:c>
      <x:c r="N29" s="13" t="n">
        <x:v>30.69739733033</x:v>
      </x:c>
      <x:c r="O29" s="32" t="str">
        <x:v>NA</x:v>
      </x:c>
      <x:c r="P29" s="32" t="str">
        <x:v>NA</x:v>
      </x:c>
    </x:row>
    <x:row r="30">
      <x:c r="A30" s="9" t="str">
        <x:v>Electronics (General)</x:v>
      </x:c>
      <x:c r="B30" s="9" t="str">
        <x:v>Otros</x:v>
      </x:c>
      <x:c r="C30" s="9" t="str">
        <x:v>VE/EBITDA</x:v>
      </x:c>
      <x:c r="D30" s="10" t="n">
        <x:v>114</x:v>
      </x:c>
      <x:c r="E30" s="31" t="n">
        <x:v>0.596491228070176</x:v>
      </x:c>
      <x:c r="F30" s="13" t="n">
        <x:v>51.9970155911342</x:v>
      </x:c>
      <x:c r="G30" s="13" t="n">
        <x:v>48.4433519460729</x:v>
      </x:c>
      <x:c r="H30" s="13" t="n">
        <x:v>29.6073793255481</x:v>
      </x:c>
      <x:c r="I30" s="13" t="n">
        <x:v>4.96896769152242</x:v>
      </x:c>
      <x:c r="J30" s="31" t="n">
        <x:v>0.126157307562756</x:v>
      </x:c>
      <x:c r="K30" s="13" t="n">
        <x:v>3.01715420351536</x:v>
      </x:c>
      <x:c r="L30" s="13" t="n">
        <x:v>3.20616277685379</x:v>
      </x:c>
      <x:c r="M30" s="31" t="n">
        <x:v>0.105180416656758</x:v>
      </x:c>
      <x:c r="N30" s="13" t="n">
        <x:v>19.9911424897979</x:v>
      </x:c>
      <x:c r="O30" s="32" t="n">
        <x:v>25.9328875924757</x:v>
      </x:c>
      <x:c r="P30" s="32" t="n">
        <x:v>29.7566915938091</x:v>
      </x:c>
    </x:row>
    <x:row r="31">
      <x:c r="A31" s="9" t="str">
        <x:v>Engineering/Construction</x:v>
      </x:c>
      <x:c r="B31" s="9" t="str">
        <x:v>Construcción e ingeniería</x:v>
      </x:c>
      <x:c r="C31" s="9" t="str">
        <x:v>VE/EBITDA</x:v>
      </x:c>
      <x:c r="D31" s="10" t="n">
        <x:v>48</x:v>
      </x:c>
      <x:c r="E31" s="31" t="n">
        <x:v>0.395833333333333</x:v>
      </x:c>
      <x:c r="F31" s="13" t="n">
        <x:v>90.2161776538582</x:v>
      </x:c>
      <x:c r="G31" s="13" t="n">
        <x:v>63.3320487509956</x:v>
      </x:c>
      <x:c r="H31" s="13" t="n">
        <x:v>28.1135475602862</x:v>
      </x:c>
      <x:c r="I31" s="13" t="n">
        <x:v>5.49046865935612</x:v>
      </x:c>
      <x:c r="J31" s="31" t="n">
        <x:v>0.261374995053517</x:v>
      </x:c>
      <x:c r="K31" s="13" t="n">
        <x:v>1.58091919166094</x:v>
      </x:c>
      <x:c r="L31" s="13" t="n">
        <x:v>1.73504314978352</x:v>
      </x:c>
      <x:c r="M31" s="31" t="n">
        <x:v>0.0675410802871394</x:v>
      </x:c>
      <x:c r="N31" s="13" t="n">
        <x:v>17.1794362685094</x:v>
      </x:c>
      <x:c r="O31" s="32" t="n">
        <x:v>21.8042340515399</x:v>
      </x:c>
      <x:c r="P31" s="32" t="n">
        <x:v>25.1712220940126</x:v>
      </x:c>
    </x:row>
    <x:row r="32">
      <x:c r="A32" s="9" t="str">
        <x:v>Entertainment</x:v>
      </x:c>
      <x:c r="B32" s="9" t="str">
        <x:v>Medios y publicidad</x:v>
      </x:c>
      <x:c r="C32" s="9" t="str">
        <x:v>VE/EBITDA y VE/ventas</x:v>
      </x:c>
      <x:c r="D32" s="10" t="n">
        <x:v>92</x:v>
      </x:c>
      <x:c r="E32" s="31" t="n">
        <x:v>0.826086956521739</x:v>
      </x:c>
      <x:c r="F32" s="13" t="n">
        <x:v>171.987428933798</x:v>
      </x:c>
      <x:c r="G32" s="13" t="n">
        <x:v>108.630593464584</x:v>
      </x:c>
      <x:c r="H32" s="13" t="n">
        <x:v>42.7307803244919</x:v>
      </x:c>
      <x:c r="I32" s="13" t="n">
        <x:v>4.79810150104805</x:v>
      </x:c>
      <x:c r="J32" s="31" t="n">
        <x:v>0.0609276311137784</x:v>
      </x:c>
      <x:c r="K32" s="13" t="n">
        <x:v>3.86898913065002</x:v>
      </x:c>
      <x:c r="L32" s="13" t="n">
        <x:v>4.33382465792971</x:v>
      </x:c>
      <x:c r="M32" s="31" t="n">
        <x:v>0.103780898626165</x:v>
      </x:c>
      <x:c r="N32" s="13" t="n">
        <x:v>19.4112627001305</x:v>
      </x:c>
      <x:c r="O32" s="32" t="n">
        <x:v>24.3866252108031</x:v>
      </x:c>
      <x:c r="P32" s="32" t="n">
        <x:v>38.9195610227787</x:v>
      </x:c>
    </x:row>
    <x:row r="33">
      <x:c r="A33" s="9" t="str">
        <x:v>Environmental &amp; Waste Services</x:v>
      </x:c>
      <x:c r="B33" s="9" t="str">
        <x:v>Otros</x:v>
      </x:c>
      <x:c r="C33" s="9" t="str">
        <x:v>VE/EBITDA</x:v>
      </x:c>
      <x:c r="D33" s="10" t="n">
        <x:v>53</x:v>
      </x:c>
      <x:c r="E33" s="31" t="n">
        <x:v>0.792452830188679</x:v>
      </x:c>
      <x:c r="F33" s="13" t="n">
        <x:v>66.2005221464723</x:v>
      </x:c>
      <x:c r="G33" s="13" t="n">
        <x:v>66.5495658805646</x:v>
      </x:c>
      <x:c r="H33" s="13" t="n">
        <x:v>61.0687570487289</x:v>
      </x:c>
      <x:c r="I33" s="13" t="n">
        <x:v>6.58545852398458</x:v>
      </x:c>
      <x:c r="J33" s="31" t="n">
        <x:v>0.197382959486919</x:v>
      </x:c>
      <x:c r="K33" s="13" t="n">
        <x:v>3.08567565744828</x:v>
      </x:c>
      <x:c r="L33" s="13" t="n">
        <x:v>3.70067500730186</x:v>
      </x:c>
      <x:c r="M33" s="31" t="n">
        <x:v>0.148516228662726</x:v>
      </x:c>
      <x:c r="N33" s="13" t="n">
        <x:v>15.6130786735146</x:v>
      </x:c>
      <x:c r="O33" s="32" t="n">
        <x:v>17.6287212085187</x:v>
      </x:c>
      <x:c r="P33" s="32" t="n">
        <x:v>24.8266551383179</x:v>
      </x:c>
    </x:row>
    <x:row r="34">
      <x:c r="A34" s="9" t="str">
        <x:v>Farming/Agriculture</x:v>
      </x:c>
      <x:c r="B34" s="9" t="str">
        <x:v>Otros</x:v>
      </x:c>
      <x:c r="C34" s="9" t="str">
        <x:v>VE/EBITDA</x:v>
      </x:c>
      <x:c r="D34" s="10" t="n">
        <x:v>35</x:v>
      </x:c>
      <x:c r="E34" s="31" t="n">
        <x:v>0.657142857142857</x:v>
      </x:c>
      <x:c r="F34" s="13" t="n">
        <x:v>16.7898061595415</x:v>
      </x:c>
      <x:c r="G34" s="13" t="n">
        <x:v>19.1159894130556</x:v>
      </x:c>
      <x:c r="H34" s="13" t="n">
        <x:v>19.3143587709057</x:v>
      </x:c>
      <x:c r="I34" s="13" t="n">
        <x:v>2.42286695192029</x:v>
      </x:c>
      <x:c r="J34" s="31" t="n">
        <x:v>0.120402592130905</x:v>
      </x:c>
      <x:c r="K34" s="13" t="n">
        <x:v>0.918123772854893</x:v>
      </x:c>
      <x:c r="L34" s="13" t="n">
        <x:v>1.3401504823361</x:v>
      </x:c>
      <x:c r="M34" s="31" t="n">
        <x:v>0.0560676417993201</x:v>
      </x:c>
      <x:c r="N34" s="13" t="n">
        <x:v>16.0376994749036</x:v>
      </x:c>
      <x:c r="O34" s="32" t="n">
        <x:v>16.6643182358707</x:v>
      </x:c>
      <x:c r="P34" s="32" t="n">
        <x:v>23.7356763464718</x:v>
      </x:c>
    </x:row>
    <x:row r="35">
      <x:c r="A35" s="9" t="str">
        <x:v>Financial Svcs. (Non-bank &amp; Insurance)</x:v>
      </x:c>
      <x:c r="B35" s="9" t="str">
        <x:v>Financiero</x:v>
      </x:c>
      <x:c r="C35" s="9" t="str">
        <x:v>P/VC y PER</x:v>
      </x:c>
      <x:c r="D35" s="10" t="n">
        <x:v>176</x:v>
      </x:c>
      <x:c r="E35" s="31" t="n">
        <x:v>0.409090909090909</x:v>
      </x:c>
      <x:c r="F35" s="13" t="n">
        <x:v>65.5923245918811</x:v>
      </x:c>
      <x:c r="G35" s="13" t="n">
        <x:v>26.1383896545427</x:v>
      </x:c>
      <x:c r="H35" s="13" t="n">
        <x:v>16.3755496599903</x:v>
      </x:c>
      <x:c r="I35" s="13" t="n">
        <x:v>3.66092277690898</x:v>
      </x:c>
      <x:c r="J35" s="31" t="n">
        <x:v>0.288173181538494</x:v>
      </x:c>
      <x:c r="K35" s="13" t="n">
        <x:v>5.22107431600108</x:v>
      </x:c>
      <x:c r="L35" s="13" t="n">
        <x:v>18.9059051763244</x:v>
      </x:c>
      <x:c r="M35" s="31" t="n">
        <x:v>0.185366008369875</x:v>
      </x:c>
      <x:c r="N35" s="13" t="n">
        <x:v>57.5235597336611</x:v>
      </x:c>
      <x:c r="O35" s="32" t="n">
        <x:v>89.9381751373037</x:v>
      </x:c>
      <x:c r="P35" s="32" t="n">
        <x:v>69.3963708178762</x:v>
      </x:c>
    </x:row>
    <x:row r="36">
      <x:c r="A36" s="9" t="str">
        <x:v>Food Processing</x:v>
      </x:c>
      <x:c r="B36" s="9" t="str">
        <x:v>Consumo</x:v>
      </x:c>
      <x:c r="C36" s="9" t="str">
        <x:v>VE/EBITDA y VE/ventas</x:v>
      </x:c>
      <x:c r="D36" s="10" t="n">
        <x:v>78</x:v>
      </x:c>
      <x:c r="E36" s="31" t="n">
        <x:v>0.602564102564103</x:v>
      </x:c>
      <x:c r="F36" s="13" t="n">
        <x:v>30.9714560410875</x:v>
      </x:c>
      <x:c r="G36" s="13" t="n">
        <x:v>47.9681263441322</x:v>
      </x:c>
      <x:c r="H36" s="13" t="n">
        <x:v>17.2345340445862</x:v>
      </x:c>
      <x:c r="I36" s="13" t="n">
        <x:v>1.79589378884787</x:v>
      </x:c>
      <x:c r="J36" s="31" t="n">
        <x:v>0.0460411920440677</x:v>
      </x:c>
      <x:c r="K36" s="13" t="n">
        <x:v>1.04836401223472</x:v>
      </x:c>
      <x:c r="L36" s="13" t="n">
        <x:v>1.46831572548552</x:v>
      </x:c>
      <x:c r="M36" s="31" t="n">
        <x:v>0.107655089665595</x:v>
      </x:c>
      <x:c r="N36" s="13" t="n">
        <x:v>10.0119749384732</x:v>
      </x:c>
      <x:c r="O36" s="32" t="n">
        <x:v>9.62611014765168</x:v>
      </x:c>
      <x:c r="P36" s="32" t="n">
        <x:v>13.6052112905583</x:v>
      </x:c>
    </x:row>
    <x:row r="37">
      <x:c r="A37" s="9" t="str">
        <x:v>Food Wholesalers</x:v>
      </x:c>
      <x:c r="B37" s="9" t="str">
        <x:v>Otros</x:v>
      </x:c>
      <x:c r="C37" s="9" t="str">
        <x:v>VE/EBITDA</x:v>
      </x:c>
      <x:c r="D37" s="10" t="n">
        <x:v>13</x:v>
      </x:c>
      <x:c r="E37" s="31" t="n">
        <x:v>0.538461538461538</x:v>
      </x:c>
      <x:c r="F37" s="13" t="n">
        <x:v>24.8964058686129</x:v>
      </x:c>
      <x:c r="G37" s="13" t="n">
        <x:v>26.8028930835912</x:v>
      </x:c>
      <x:c r="H37" s="13" t="n">
        <x:v>16.6417474911865</x:v>
      </x:c>
      <x:c r="I37" s="13" t="n">
        <x:v>4.87855482612256</x:v>
      </x:c>
      <x:c r="J37" s="31" t="n">
        <x:v>0.182207245110667</x:v>
      </x:c>
      <x:c r="K37" s="13" t="n">
        <x:v>0.314186227345101</x:v>
      </x:c>
      <x:c r="L37" s="13" t="n">
        <x:v>0.456852048513644</x:v>
      </x:c>
      <x:c r="M37" s="31" t="n">
        <x:v>0.025456148145276</x:v>
      </x:c>
      <x:c r="N37" s="13" t="n">
        <x:v>11.0752522320418</x:v>
      </x:c>
      <x:c r="O37" s="32" t="n">
        <x:v>12.3168263583587</x:v>
      </x:c>
      <x:c r="P37" s="32" t="n">
        <x:v>17.944483002972</x:v>
      </x:c>
    </x:row>
    <x:row r="38">
      <x:c r="A38" s="9" t="str">
        <x:v>Furn/Home Furnishings</x:v>
      </x:c>
      <x:c r="B38" s="9" t="str">
        <x:v>Otros</x:v>
      </x:c>
      <x:c r="C38" s="9" t="str">
        <x:v>VE/EBITDA</x:v>
      </x:c>
      <x:c r="D38" s="10" t="n">
        <x:v>27</x:v>
      </x:c>
      <x:c r="E38" s="31" t="n">
        <x:v>0.518518518518519</x:v>
      </x:c>
      <x:c r="F38" s="13" t="n">
        <x:v>15.9270193418086</x:v>
      </x:c>
      <x:c r="G38" s="13" t="n">
        <x:v>17.3835246839506</x:v>
      </x:c>
      <x:c r="H38" s="13" t="n">
        <x:v>20.3438444393584</x:v>
      </x:c>
      <x:c r="I38" s="13" t="n">
        <x:v>2.45318849933426</x:v>
      </x:c>
      <x:c r="J38" s="31" t="n">
        <x:v>0.0310741507730321</x:v>
      </x:c>
      <x:c r="K38" s="13" t="n">
        <x:v>0.977371371755317</x:v>
      </x:c>
      <x:c r="L38" s="13" t="n">
        <x:v>1.33279900965649</x:v>
      </x:c>
      <x:c r="M38" s="31" t="n">
        <x:v>0.0687574726934723</x:v>
      </x:c>
      <x:c r="N38" s="13" t="n">
        <x:v>11.2738195501143</x:v>
      </x:c>
      <x:c r="O38" s="32" t="n">
        <x:v>13.6633491741325</x:v>
      </x:c>
      <x:c r="P38" s="32" t="n">
        <x:v>19.1451404951914</x:v>
      </x:c>
    </x:row>
    <x:row r="39">
      <x:c r="A39" s="9" t="str">
        <x:v>Green &amp; Renewable Energy</x:v>
      </x:c>
      <x:c r="B39" s="9" t="str">
        <x:v>Energía</x:v>
      </x:c>
      <x:c r="C39" s="9" t="str">
        <x:v>VE/EBITDA</x:v>
      </x:c>
      <x:c r="D39" s="10" t="n">
        <x:v>15</x:v>
      </x:c>
      <x:c r="E39" s="31" t="n">
        <x:v>0.866666666666667</x:v>
      </x:c>
      <x:c r="F39" s="13" t="n">
        <x:v>44.5640052813695</x:v>
      </x:c>
      <x:c r="G39" s="13" t="n">
        <x:v>32.2495939530235</x:v>
      </x:c>
      <x:c r="H39" s="13" t="n">
        <x:v>42.7120891107801</x:v>
      </x:c>
      <x:c r="I39" s="13" t="n">
        <x:v>1.26286601127332</x:v>
      </x:c>
      <x:c r="J39" s="31" t="n">
        <x:v>-0.0735713716131615</x:v>
      </x:c>
      <x:c r="K39" s="13" t="n">
        <x:v>3.76247895190512</x:v>
      </x:c>
      <x:c r="L39" s="13" t="n">
        <x:v>7.86569296959915</x:v>
      </x:c>
      <x:c r="M39" s="31" t="n">
        <x:v>0.183877256379685</x:v>
      </x:c>
      <x:c r="N39" s="13" t="n">
        <x:v>13.4437168082171</x:v>
      </x:c>
      <x:c r="O39" s="32" t="n">
        <x:v>13.4569385066571</x:v>
      </x:c>
      <x:c r="P39" s="32" t="n">
        <x:v>42.6255683732797</x:v>
      </x:c>
    </x:row>
    <x:row r="40">
      <x:c r="A40" s="9" t="str">
        <x:v>Healthcare Products</x:v>
      </x:c>
      <x:c r="B40" s="9" t="str">
        <x:v>Salud</x:v>
      </x:c>
      <x:c r="C40" s="9" t="str">
        <x:v>VE/ventas y VE/EBITDA</x:v>
      </x:c>
      <x:c r="D40" s="10" t="n">
        <x:v>204</x:v>
      </x:c>
      <x:c r="E40" s="31" t="n">
        <x:v>0.759803921568627</x:v>
      </x:c>
      <x:c r="F40" s="13" t="n">
        <x:v>55.8656300053193</x:v>
      </x:c>
      <x:c r="G40" s="13" t="n">
        <x:v>43.0651627002982</x:v>
      </x:c>
      <x:c r="H40" s="13" t="n">
        <x:v>42.3341384635487</x:v>
      </x:c>
      <x:c r="I40" s="13" t="n">
        <x:v>4.4351038092908</x:v>
      </x:c>
      <x:c r="J40" s="31" t="n">
        <x:v>0.112600036422819</x:v>
      </x:c>
      <x:c r="K40" s="13" t="n">
        <x:v>4.36474501819791</x:v>
      </x:c>
      <x:c r="L40" s="13" t="n">
        <x:v>4.76260076039751</x:v>
      </x:c>
      <x:c r="M40" s="31" t="n">
        <x:v>0.15469745078594</x:v>
      </x:c>
      <x:c r="N40" s="13" t="n">
        <x:v>19.7780365768709</x:v>
      </x:c>
      <x:c r="O40" s="32" t="n">
        <x:v>23.420650540527</x:v>
      </x:c>
      <x:c r="P40" s="32" t="n">
        <x:v>29.9892754588435</x:v>
      </x:c>
    </x:row>
    <x:row r="41">
      <x:c r="A41" s="9" t="str">
        <x:v>Healthcare Support Services</x:v>
      </x:c>
      <x:c r="B41" s="9" t="str">
        <x:v>Salud</x:v>
      </x:c>
      <x:c r="C41" s="9" t="str">
        <x:v>VE/ventas y VE/EBITDA</x:v>
      </x:c>
      <x:c r="D41" s="10" t="n">
        <x:v>104</x:v>
      </x:c>
      <x:c r="E41" s="31" t="n">
        <x:v>0.625</x:v>
      </x:c>
      <x:c r="F41" s="13" t="n">
        <x:v>94.4285625410397</x:v>
      </x:c>
      <x:c r="G41" s="13" t="n">
        <x:v>83.7666088261665</x:v>
      </x:c>
      <x:c r="H41" s="13" t="n">
        <x:v>55.2883534141048</x:v>
      </x:c>
      <x:c r="I41" s="13" t="n">
        <x:v>2.79557215692838</x:v>
      </x:c>
      <x:c r="J41" s="31" t="n">
        <x:v>0.098917912885419</x:v>
      </x:c>
      <x:c r="K41" s="13" t="n">
        <x:v>0.365491530000908</x:v>
      </x:c>
      <x:c r="L41" s="13" t="n">
        <x:v>0.457783313626175</x:v>
      </x:c>
      <x:c r="M41" s="31" t="n">
        <x:v>0.0299037531307094</x:v>
      </x:c>
      <x:c r="N41" s="13" t="n">
        <x:v>11.1688250223679</x:v>
      </x:c>
      <x:c r="O41" s="32" t="n">
        <x:v>11.8434785242951</x:v>
      </x:c>
      <x:c r="P41" s="32" t="n">
        <x:v>15.0220495559003</x:v>
      </x:c>
    </x:row>
    <x:row r="42">
      <x:c r="A42" s="9" t="str">
        <x:v>Heathcare Information and Technology</x:v>
      </x:c>
      <x:c r="B42" s="9" t="str">
        <x:v>Otros</x:v>
      </x:c>
      <x:c r="C42" s="9" t="str">
        <x:v>VE/EBITDA</x:v>
      </x:c>
      <x:c r="D42" s="10" t="n">
        <x:v>115</x:v>
      </x:c>
      <x:c r="E42" s="31" t="n">
        <x:v>0.765217391304348</x:v>
      </x:c>
      <x:c r="F42" s="13" t="n">
        <x:v>219.635506314387</x:v>
      </x:c>
      <x:c r="G42" s="13" t="n">
        <x:v>506.546868702116</x:v>
      </x:c>
      <x:c r="H42" s="13" t="n">
        <x:v>37.3800840073942</x:v>
      </x:c>
      <x:c r="I42" s="13" t="n">
        <x:v>4.00223856046035</x:v>
      </x:c>
      <x:c r="J42" s="31" t="n">
        <x:v>0.0639736370327422</x:v>
      </x:c>
      <x:c r="K42" s="13" t="n">
        <x:v>4.70291105551037</x:v>
      </x:c>
      <x:c r="L42" s="13" t="n">
        <x:v>5.30918842135801</x:v>
      </x:c>
      <x:c r="M42" s="31" t="n">
        <x:v>0.147525462988784</x:v>
      </x:c>
      <x:c r="N42" s="13" t="n">
        <x:v>21.2721271581124</x:v>
      </x:c>
      <x:c r="O42" s="32" t="n">
        <x:v>25.9045904165366</x:v>
      </x:c>
      <x:c r="P42" s="32" t="n">
        <x:v>34.7621607960374</x:v>
      </x:c>
    </x:row>
    <x:row r="43">
      <x:c r="A43" s="9" t="str">
        <x:v>Homebuilding</x:v>
      </x:c>
      <x:c r="B43" s="9" t="str">
        <x:v>Otros</x:v>
      </x:c>
      <x:c r="C43" s="9" t="str">
        <x:v>VE/EBITDA</x:v>
      </x:c>
      <x:c r="D43" s="10" t="n">
        <x:v>30</x:v>
      </x:c>
      <x:c r="E43" s="31" t="n">
        <x:v>0.2</x:v>
      </x:c>
      <x:c r="F43" s="13" t="n">
        <x:v>10.203122017087</x:v>
      </x:c>
      <x:c r="G43" s="13" t="n">
        <x:v>11.4534963156878</x:v>
      </x:c>
      <x:c r="H43" s="13" t="n">
        <x:v>14.3479056766747</x:v>
      </x:c>
      <x:c r="I43" s="13" t="n">
        <x:v>1.63309498004189</x:v>
      </x:c>
      <x:c r="J43" s="31" t="n">
        <x:v>0.142314303585548</x:v>
      </x:c>
      <x:c r="K43" s="13" t="n">
        <x:v>1.06742232581191</x:v>
      </x:c>
      <x:c r="L43" s="13" t="n">
        <x:v>1.19162693867246</x:v>
      </x:c>
      <x:c r="M43" s="31" t="n">
        <x:v>0.12633855565478</x:v>
      </x:c>
      <x:c r="N43" s="13" t="n">
        <x:v>8.91812563614126</x:v>
      </x:c>
      <x:c r="O43" s="32" t="n">
        <x:v>8.42526311888877</x:v>
      </x:c>
      <x:c r="P43" s="32" t="n">
        <x:v>9.43192050474335</x:v>
      </x:c>
    </x:row>
    <x:row r="44">
      <x:c r="A44" s="9" t="str">
        <x:v>Hospitals/Healthcare Facilities</x:v>
      </x:c>
      <x:c r="B44" s="9" t="str">
        <x:v>Salud</x:v>
      </x:c>
      <x:c r="C44" s="9" t="str">
        <x:v>VE/ventas y VE/EBITDA</x:v>
      </x:c>
      <x:c r="D44" s="10" t="n">
        <x:v>31</x:v>
      </x:c>
      <x:c r="E44" s="31" t="n">
        <x:v>0.516129032258065</x:v>
      </x:c>
      <x:c r="F44" s="13" t="n">
        <x:v>24.3534701124479</x:v>
      </x:c>
      <x:c r="G44" s="13" t="n">
        <x:v>18.8042334893976</x:v>
      </x:c>
      <x:c r="H44" s="13" t="n">
        <x:v>15.6518653838465</x:v>
      </x:c>
      <x:c r="I44" s="13" t="n">
        <x:v>5.6227362925154</x:v>
      </x:c>
      <x:c r="J44" s="31" t="n">
        <x:v>0.508362802815434</x:v>
      </x:c>
      <x:c r="K44" s="13" t="n">
        <x:v>1.08112025131499</x:v>
      </x:c>
      <x:c r="L44" s="13" t="n">
        <x:v>1.68874501678279</x:v>
      </x:c>
      <x:c r="M44" s="31" t="n">
        <x:v>0.12855081802385</x:v>
      </x:c>
      <x:c r="N44" s="13" t="n">
        <x:v>8.86402141674503</x:v>
      </x:c>
      <x:c r="O44" s="32" t="n">
        <x:v>10.6854584430846</x:v>
      </x:c>
      <x:c r="P44" s="32" t="n">
        <x:v>13.115463613522</x:v>
      </x:c>
    </x:row>
    <x:row r="45">
      <x:c r="A45" s="9" t="str">
        <x:v>Hotel/Gaming</x:v>
      </x:c>
      <x:c r="B45" s="9" t="str">
        <x:v>Turismo y ocio</x:v>
      </x:c>
      <x:c r="C45" s="9" t="str">
        <x:v>VE/EBITDA</x:v>
      </x:c>
      <x:c r="D45" s="10" t="n">
        <x:v>63</x:v>
      </x:c>
      <x:c r="E45" s="31" t="n">
        <x:v>0.53968253968254</x:v>
      </x:c>
      <x:c r="F45" s="13" t="n">
        <x:v>83.1558732689006</x:v>
      </x:c>
      <x:c r="G45" s="13" t="n">
        <x:v>46.6033394589918</x:v>
      </x:c>
      <x:c r="H45" s="13" t="n">
        <x:v>29.0672236808522</x:v>
      </x:c>
      <x:c r="I45" s="13" t="n">
        <x:v>12.303472671976</x:v>
      </x:c>
      <x:c r="J45" s="31" t="n">
        <x:v>0.453832673602085</x:v>
      </x:c>
      <x:c r="K45" s="13" t="n">
        <x:v>3.25789582263032</x:v>
      </x:c>
      <x:c r="L45" s="13" t="n">
        <x:v>4.32707614238957</x:v>
      </x:c>
      <x:c r="M45" s="31" t="n">
        <x:v>0.164412421009331</x:v>
      </x:c>
      <x:c r="N45" s="13" t="n">
        <x:v>14.932670744376</x:v>
      </x:c>
      <x:c r="O45" s="32" t="n">
        <x:v>17.6971941305998</x:v>
      </x:c>
      <x:c r="P45" s="32" t="n">
        <x:v>25.710681771599</x:v>
      </x:c>
    </x:row>
    <x:row r="46">
      <x:c r="A46" s="9" t="str">
        <x:v>Household Products</x:v>
      </x:c>
      <x:c r="B46" s="9" t="str">
        <x:v>Otros</x:v>
      </x:c>
      <x:c r="C46" s="9" t="str">
        <x:v>VE/EBITDA</x:v>
      </x:c>
      <x:c r="D46" s="10" t="n">
        <x:v>110</x:v>
      </x:c>
      <x:c r="E46" s="31" t="n">
        <x:v>0.718181818181818</x:v>
      </x:c>
      <x:c r="F46" s="13" t="n">
        <x:v>65.8942966709333</x:v>
      </x:c>
      <x:c r="G46" s="13" t="n">
        <x:v>33.0717958865171</x:v>
      </x:c>
      <x:c r="H46" s="13" t="n">
        <x:v>16.8509182790561</x:v>
      </x:c>
      <x:c r="I46" s="13" t="n">
        <x:v>5.84709005585047</x:v>
      </x:c>
      <x:c r="J46" s="31" t="n">
        <x:v>0.270211972393535</x:v>
      </x:c>
      <x:c r="K46" s="13" t="n">
        <x:v>2.67344432960617</x:v>
      </x:c>
      <x:c r="L46" s="13" t="n">
        <x:v>3.05946814872604</x:v>
      </x:c>
      <x:c r="M46" s="31" t="n">
        <x:v>0.187900063525053</x:v>
      </x:c>
      <x:c r="N46" s="13" t="n">
        <x:v>13.1735201641268</x:v>
      </x:c>
      <x:c r="O46" s="32" t="n">
        <x:v>13.6922612125419</x:v>
      </x:c>
      <x:c r="P46" s="32" t="n">
        <x:v>16.2549132542133</x:v>
      </x:c>
    </x:row>
    <x:row r="47">
      <x:c r="A47" s="9" t="str">
        <x:v>Information Services</x:v>
      </x:c>
      <x:c r="B47" s="9" t="str">
        <x:v>Software y datos</x:v>
      </x:c>
      <x:c r="C47" s="9" t="str">
        <x:v>VE/ventas y VE/EBITDA</x:v>
      </x:c>
      <x:c r="D47" s="10" t="n">
        <x:v>15</x:v>
      </x:c>
      <x:c r="E47" s="31" t="n">
        <x:v>0.4</x:v>
      </x:c>
      <x:c r="F47" s="13" t="n">
        <x:v>29.3456408171586</x:v>
      </x:c>
      <x:c r="G47" s="13" t="n">
        <x:v>24.9170275036363</x:v>
      </x:c>
      <x:c r="H47" s="13" t="n">
        <x:v>13.2164061379424</x:v>
      </x:c>
      <x:c r="I47" s="13" t="n">
        <x:v>3.79493894732214</x:v>
      </x:c>
      <x:c r="J47" s="31" t="n">
        <x:v>0.149460900440439</x:v>
      </x:c>
      <x:c r="K47" s="13" t="n">
        <x:v>1.70466493216691</x:v>
      </x:c>
      <x:c r="L47" s="13" t="n">
        <x:v>2.21253538911445</x:v>
      </x:c>
      <x:c r="M47" s="31" t="n">
        <x:v>0.12451459519593</x:v>
      </x:c>
      <x:c r="N47" s="13" t="n">
        <x:v>11.49832200916</x:v>
      </x:c>
      <x:c r="O47" s="32" t="n">
        <x:v>12.8064671603791</x:v>
      </x:c>
      <x:c r="P47" s="32" t="n">
        <x:v>17.7665165820875</x:v>
      </x:c>
    </x:row>
    <x:row r="48">
      <x:c r="A48" s="9" t="str">
        <x:v>Insurance (General)</x:v>
      </x:c>
      <x:c r="B48" s="9" t="str">
        <x:v>Financiero</x:v>
      </x:c>
      <x:c r="C48" s="9" t="str">
        <x:v>P/VC y PER</x:v>
      </x:c>
      <x:c r="D48" s="10" t="n">
        <x:v>21</x:v>
      </x:c>
      <x:c r="E48" s="31" t="n">
        <x:v>0.238095238095238</x:v>
      </x:c>
      <x:c r="F48" s="13" t="n">
        <x:v>55.1450283966585</x:v>
      </x:c>
      <x:c r="G48" s="13" t="n">
        <x:v>33.9644750838615</x:v>
      </x:c>
      <x:c r="H48" s="13" t="n">
        <x:v>21.5077339940862</x:v>
      </x:c>
      <x:c r="I48" s="13" t="n">
        <x:v>3.45173194841065</x:v>
      </x:c>
      <x:c r="J48" s="31" t="n">
        <x:v>0.190716563362503</x:v>
      </x:c>
      <x:c r="K48" s="13" t="n">
        <x:v>3.53009320241825</x:v>
      </x:c>
      <x:c r="L48" s="13" t="n">
        <x:v>4.32404760288181</x:v>
      </x:c>
      <x:c r="M48" s="31" t="n">
        <x:v>0.214605204738862</x:v>
      </x:c>
      <x:c r="N48" s="13" t="n">
        <x:v>15.7579048573028</x:v>
      </x:c>
      <x:c r="O48" s="32" t="n">
        <x:v>18.3491615051188</x:v>
      </x:c>
      <x:c r="P48" s="32" t="n">
        <x:v>20.099906084077</x:v>
      </x:c>
    </x:row>
    <x:row r="49">
      <x:c r="A49" s="9" t="str">
        <x:v>Insurance (Life)</x:v>
      </x:c>
      <x:c r="B49" s="9" t="str">
        <x:v>Financiero</x:v>
      </x:c>
      <x:c r="C49" s="9" t="str">
        <x:v>P/VC y PER</x:v>
      </x:c>
      <x:c r="D49" s="10" t="n">
        <x:v>20</x:v>
      </x:c>
      <x:c r="E49" s="31" t="n">
        <x:v>0.25</x:v>
      </x:c>
      <x:c r="F49" s="13" t="n">
        <x:v>19.8615663198592</x:v>
      </x:c>
      <x:c r="G49" s="13" t="n">
        <x:v>12.5574468665789</x:v>
      </x:c>
      <x:c r="H49" s="13" t="n">
        <x:v>9.29918190529985</x:v>
      </x:c>
      <x:c r="I49" s="13" t="n">
        <x:v>1.43411650467255</x:v>
      </x:c>
      <x:c r="J49" s="31" t="n">
        <x:v>0.128735296351518</x:v>
      </x:c>
      <x:c r="K49" s="13" t="n">
        <x:v>0.952203256844571</x:v>
      </x:c>
      <x:c r="L49" s="13" t="n">
        <x:v>1.28382492247473</x:v>
      </x:c>
      <x:c r="M49" s="31" t="n">
        <x:v>0.106476691642666</x:v>
      </x:c>
      <x:c r="N49" s="13" t="n">
        <x:v>12.5224666727187</x:v>
      </x:c>
      <x:c r="O49" s="32" t="n">
        <x:v>11.1606712401561</x:v>
      </x:c>
      <x:c r="P49" s="32" t="n">
        <x:v>11.6956095413971</x:v>
      </x:c>
    </x:row>
    <x:row r="50">
      <x:c r="A50" s="9" t="str">
        <x:v>Insurance (Prop/Cas.)</x:v>
      </x:c>
      <x:c r="B50" s="9" t="str">
        <x:v>Financiero</x:v>
      </x:c>
      <x:c r="C50" s="9" t="str">
        <x:v>P/VC y PER</x:v>
      </x:c>
      <x:c r="D50" s="10" t="n">
        <x:v>57</x:v>
      </x:c>
      <x:c r="E50" s="31" t="n">
        <x:v>0.140350877192982</x:v>
      </x:c>
      <x:c r="F50" s="13" t="n">
        <x:v>18.0535265499431</x:v>
      </x:c>
      <x:c r="G50" s="13" t="n">
        <x:v>18.3344416573729</x:v>
      </x:c>
      <x:c r="H50" s="13" t="n">
        <x:v>16.35747162979</x:v>
      </x:c>
      <x:c r="I50" s="13" t="n">
        <x:v>2.0238527600266</x:v>
      </x:c>
      <x:c r="J50" s="31" t="n">
        <x:v>0.187147254006784</x:v>
      </x:c>
      <x:c r="K50" s="13" t="n">
        <x:v>1.36010610206923</x:v>
      </x:c>
      <x:c r="L50" s="13" t="n">
        <x:v>1.48878191322409</x:v>
      </x:c>
      <x:c r="M50" s="31" t="n">
        <x:v>0.153004089133311</x:v>
      </x:c>
      <x:c r="N50" s="13" t="n">
        <x:v>8.4356789458995</x:v>
      </x:c>
      <x:c r="O50" s="32" t="n">
        <x:v>10.1047363901108</x:v>
      </x:c>
      <x:c r="P50" s="32" t="n">
        <x:v>9.63996254509612</x:v>
      </x:c>
    </x:row>
    <x:row r="51">
      <x:c r="A51" s="9" t="str">
        <x:v>Investments &amp; Asset Management</x:v>
      </x:c>
      <x:c r="B51" s="9" t="str">
        <x:v>Otros</x:v>
      </x:c>
      <x:c r="C51" s="9" t="str">
        <x:v>VE/EBITDA</x:v>
      </x:c>
      <x:c r="D51" s="10" t="n">
        <x:v>283</x:v>
      </x:c>
      <x:c r="E51" s="31" t="n">
        <x:v>0.575971731448763</x:v>
      </x:c>
      <x:c r="F51" s="13" t="n">
        <x:v>378.639094512578</x:v>
      </x:c>
      <x:c r="G51" s="13" t="n">
        <x:v>75.3049083285905</x:v>
      </x:c>
      <x:c r="H51" s="13" t="n">
        <x:v>18.7707672584685</x:v>
      </x:c>
      <x:c r="I51" s="13" t="n">
        <x:v>2.48961601296667</x:v>
      </x:c>
      <x:c r="J51" s="31" t="n">
        <x:v>0.158806767828987</x:v>
      </x:c>
      <x:c r="K51" s="13" t="n">
        <x:v>4.58995886250135</x:v>
      </x:c>
      <x:c r="L51" s="13" t="n">
        <x:v>5.48604562572895</x:v>
      </x:c>
      <x:c r="M51" s="31" t="n">
        <x:v>0.251844667152205</x:v>
      </x:c>
      <x:c r="N51" s="13" t="n">
        <x:v>38.0288005790441</x:v>
      </x:c>
      <x:c r="O51" s="32" t="n">
        <x:v>47.0898306807441</x:v>
      </x:c>
      <x:c r="P51" s="32" t="n">
        <x:v>20.3999194905598</x:v>
      </x:c>
    </x:row>
    <x:row r="52">
      <x:c r="A52" s="9" t="str">
        <x:v>Machinery</x:v>
      </x:c>
      <x:c r="B52" s="9" t="str">
        <x:v>Otros</x:v>
      </x:c>
      <x:c r="C52" s="9" t="str">
        <x:v>VE/EBITDA</x:v>
      </x:c>
      <x:c r="D52" s="10" t="n">
        <x:v>105</x:v>
      </x:c>
      <x:c r="E52" s="31" t="n">
        <x:v>0.428571428571429</x:v>
      </x:c>
      <x:c r="F52" s="13" t="n">
        <x:v>42.6014396250677</x:v>
      </x:c>
      <x:c r="G52" s="13" t="n">
        <x:v>35.7610358772678</x:v>
      </x:c>
      <x:c r="H52" s="13" t="n">
        <x:v>24.0615138906175</x:v>
      </x:c>
      <x:c r="I52" s="13" t="n">
        <x:v>4.50141002409552</x:v>
      </x:c>
      <x:c r="J52" s="31" t="n">
        <x:v>0.16423121638505</x:v>
      </x:c>
      <x:c r="K52" s="13" t="n">
        <x:v>3.07690410773161</x:v>
      </x:c>
      <x:c r="L52" s="13" t="n">
        <x:v>3.42613113028969</x:v>
      </x:c>
      <x:c r="M52" s="31" t="n">
        <x:v>0.16059785335376</x:v>
      </x:c>
      <x:c r="N52" s="13" t="n">
        <x:v>16.217470562271</x:v>
      </x:c>
      <x:c r="O52" s="32" t="n">
        <x:v>17.4609873157453</x:v>
      </x:c>
      <x:c r="P52" s="32" t="n">
        <x:v>21.0363302646182</x:v>
      </x:c>
    </x:row>
    <x:row r="53">
      <x:c r="A53" s="9" t="str">
        <x:v>Metals &amp; Mining</x:v>
      </x:c>
      <x:c r="B53" s="9" t="str">
        <x:v>Otros</x:v>
      </x:c>
      <x:c r="C53" s="9" t="str">
        <x:v>VE/EBITDA</x:v>
      </x:c>
      <x:c r="D53" s="10" t="n">
        <x:v>73</x:v>
      </x:c>
      <x:c r="E53" s="31" t="n">
        <x:v>0.849315068493151</x:v>
      </x:c>
      <x:c r="F53" s="13" t="n">
        <x:v>92.8695827736757</x:v>
      </x:c>
      <x:c r="G53" s="13" t="n">
        <x:v>54.1176014151896</x:v>
      </x:c>
      <x:c r="H53" s="13" t="n">
        <x:v>29.8163980231773</x:v>
      </x:c>
      <x:c r="I53" s="13" t="n">
        <x:v>4.33676552010733</x:v>
      </x:c>
      <x:c r="J53" s="31" t="n">
        <x:v>0.177943487488082</x:v>
      </x:c>
      <x:c r="K53" s="13" t="n">
        <x:v>3.81174524047474</x:v>
      </x:c>
      <x:c r="L53" s="13" t="n">
        <x:v>4.03448254805696</x:v>
      </x:c>
      <x:c r="M53" s="31" t="n">
        <x:v>0.237571925823155</x:v>
      </x:c>
      <x:c r="N53" s="13" t="n">
        <x:v>11.3906369554613</x:v>
      </x:c>
      <x:c r="O53" s="32" t="n">
        <x:v>13.7392945749769</x:v>
      </x:c>
      <x:c r="P53" s="32" t="n">
        <x:v>15.7218989822806</x:v>
      </x:c>
    </x:row>
    <x:row r="54">
      <x:c r="A54" s="9" t="str">
        <x:v>Office Equipment &amp; Services</x:v>
      </x:c>
      <x:c r="B54" s="9" t="str">
        <x:v>Otros</x:v>
      </x:c>
      <x:c r="C54" s="9" t="str">
        <x:v>VE/EBITDA</x:v>
      </x:c>
      <x:c r="D54" s="10" t="n">
        <x:v>14</x:v>
      </x:c>
      <x:c r="E54" s="31" t="n">
        <x:v>0.428571428571429</x:v>
      </x:c>
      <x:c r="F54" s="13" t="n">
        <x:v>13.415422886001</x:v>
      </x:c>
      <x:c r="G54" s="13" t="n">
        <x:v>18.5515269482841</x:v>
      </x:c>
      <x:c r="H54" s="13" t="n">
        <x:v>10.311300073983</x:v>
      </x:c>
      <x:c r="I54" s="13" t="n">
        <x:v>2.92407896085479</x:v>
      </x:c>
      <x:c r="J54" s="31" t="n">
        <x:v>0.132256619473647</x:v>
      </x:c>
      <x:c r="K54" s="13" t="n">
        <x:v>1.02486878079878</x:v>
      </x:c>
      <x:c r="L54" s="13" t="n">
        <x:v>1.43366374296621</x:v>
      </x:c>
      <x:c r="M54" s="31" t="n">
        <x:v>0.108791973619573</x:v>
      </x:c>
      <x:c r="N54" s="13" t="n">
        <x:v>8.59485446883365</x:v>
      </x:c>
      <x:c r="O54" s="32" t="n">
        <x:v>10.0043608012581</x:v>
      </x:c>
      <x:c r="P54" s="32" t="n">
        <x:v>13.0262887992241</x:v>
      </x:c>
    </x:row>
    <x:row r="55">
      <x:c r="A55" s="9" t="str">
        <x:v>Oil/Gas (Integrated)</x:v>
      </x:c>
      <x:c r="B55" s="9" t="str">
        <x:v>Energía</x:v>
      </x:c>
      <x:c r="C55" s="9" t="str">
        <x:v>VE/EBITDA</x:v>
      </x:c>
      <x:c r="D55" s="10" t="n">
        <x:v>4</x:v>
      </x:c>
      <x:c r="E55" s="31" t="n">
        <x:v>0</x:v>
      </x:c>
      <x:c r="F55" s="13" t="n">
        <x:v>13.0116351723457</x:v>
      </x:c>
      <x:c r="G55" s="13" t="n">
        <x:v>16.2439054828659</x:v>
      </x:c>
      <x:c r="H55" s="13" t="n">
        <x:v>21.8965520127119</x:v>
      </x:c>
      <x:c r="I55" s="13" t="n">
        <x:v>1.70755233104673</x:v>
      </x:c>
      <x:c r="J55" s="31" t="n">
        <x:v>0.0995750214039911</x:v>
      </x:c>
      <x:c r="K55" s="13" t="n">
        <x:v>1.57849119171826</x:v>
      </x:c>
      <x:c r="L55" s="13" t="n">
        <x:v>1.75317623273319</x:v>
      </x:c>
      <x:c r="M55" s="31" t="n">
        <x:v>0.115670018746518</x:v>
      </x:c>
      <x:c r="N55" s="13" t="n">
        <x:v>8.16302161110727</x:v>
      </x:c>
      <x:c r="O55" s="32" t="n">
        <x:v>8.08980766818696</x:v>
      </x:c>
      <x:c r="P55" s="32" t="n">
        <x:v>15.1567039733533</x:v>
      </x:c>
    </x:row>
    <x:row r="56">
      <x:c r="A56" s="9" t="str">
        <x:v>Oil/Gas (Production and Exploration)</x:v>
      </x:c>
      <x:c r="B56" s="9" t="str">
        <x:v>Energía</x:v>
      </x:c>
      <x:c r="C56" s="9" t="str">
        <x:v>VE/EBITDA</x:v>
      </x:c>
      <x:c r="D56" s="10" t="n">
        <x:v>142</x:v>
      </x:c>
      <x:c r="E56" s="31" t="n">
        <x:v>0.591549295774648</x:v>
      </x:c>
      <x:c r="F56" s="13" t="n">
        <x:v>21.3642984305776</x:v>
      </x:c>
      <x:c r="G56" s="13" t="n">
        <x:v>30.983413096602</x:v>
      </x:c>
      <x:c r="H56" s="13" t="n">
        <x:v>16.1446582142401</x:v>
      </x:c>
      <x:c r="I56" s="13" t="n">
        <x:v>1.35572074366619</x:v>
      </x:c>
      <x:c r="J56" s="31" t="n">
        <x:v>0.122110661396429</x:v>
      </x:c>
      <x:c r="K56" s="13" t="n">
        <x:v>2.00440454161324</x:v>
      </x:c>
      <x:c r="L56" s="13" t="n">
        <x:v>2.68258859948438</x:v>
      </x:c>
      <x:c r="M56" s="31" t="n">
        <x:v>0.258241759346801</x:v>
      </x:c>
      <x:c r="N56" s="13" t="n">
        <x:v>5.14585933864515</x:v>
      </x:c>
      <x:c r="O56" s="32" t="n">
        <x:v>6.2085891501838</x:v>
      </x:c>
      <x:c r="P56" s="32" t="n">
        <x:v>10.2774437443348</x:v>
      </x:c>
    </x:row>
    <x:row r="57">
      <x:c r="A57" s="9" t="str">
        <x:v>Oil/Gas Distribution</x:v>
      </x:c>
      <x:c r="B57" s="9" t="str">
        <x:v>Energía</x:v>
      </x:c>
      <x:c r="C57" s="9" t="str">
        <x:v>VE/EBITDA</x:v>
      </x:c>
      <x:c r="D57" s="10" t="n">
        <x:v>23</x:v>
      </x:c>
      <x:c r="E57" s="31" t="n">
        <x:v>0.434782608695652</x:v>
      </x:c>
      <x:c r="F57" s="13" t="n">
        <x:v>20.2042787798803</x:v>
      </x:c>
      <x:c r="G57" s="13" t="n">
        <x:v>23.7172639400163</x:v>
      </x:c>
      <x:c r="H57" s="13" t="n">
        <x:v>42.5245538403018</x:v>
      </x:c>
      <x:c r="I57" s="13" t="n">
        <x:v>2.88227102083848</x:v>
      </x:c>
      <x:c r="J57" s="31" t="n">
        <x:v>0.180327024157224</x:v>
      </x:c>
      <x:c r="K57" s="13" t="n">
        <x:v>2.78254010952764</x:v>
      </x:c>
      <x:c r="L57" s="13" t="n">
        <x:v>4.37178378188289</x:v>
      </x:c>
      <x:c r="M57" s="31" t="n">
        <x:v>0.260568235609684</x:v>
      </x:c>
      <x:c r="N57" s="13" t="n">
        <x:v>11.5623965895417</x:v>
      </x:c>
      <x:c r="O57" s="32" t="n">
        <x:v>13.3516238429751</x:v>
      </x:c>
      <x:c r="P57" s="32" t="n">
        <x:v>16.4805767999161</x:v>
      </x:c>
    </x:row>
    <x:row r="58">
      <x:c r="A58" s="9" t="str">
        <x:v>Oilfield Svcs/Equip.</x:v>
      </x:c>
      <x:c r="B58" s="9" t="str">
        <x:v>Energía</x:v>
      </x:c>
      <x:c r="C58" s="9" t="str">
        <x:v>VE/EBITDA</x:v>
      </x:c>
      <x:c r="D58" s="10" t="n">
        <x:v>97</x:v>
      </x:c>
      <x:c r="E58" s="31" t="n">
        <x:v>0.577319587628866</x:v>
      </x:c>
      <x:c r="F58" s="13" t="n">
        <x:v>37.9812097927676</x:v>
      </x:c>
      <x:c r="G58" s="13" t="n">
        <x:v>33.3003453382197</x:v>
      </x:c>
      <x:c r="H58" s="13" t="n">
        <x:v>21.2172252708362</x:v>
      </x:c>
      <x:c r="I58" s="13" t="n">
        <x:v>1.91838934733431</x:v>
      </x:c>
      <x:c r="J58" s="31" t="n">
        <x:v>0.0864604126050346</x:v>
      </x:c>
      <x:c r="K58" s="13" t="n">
        <x:v>0.571685348386922</x:v>
      </x:c>
      <x:c r="L58" s="13" t="n">
        <x:v>0.741351836938434</x:v>
      </x:c>
      <x:c r="M58" s="31" t="n">
        <x:v>0.0484605480633458</x:v>
      </x:c>
      <x:c r="N58" s="13" t="n">
        <x:v>8.6297606667476</x:v>
      </x:c>
      <x:c r="O58" s="32" t="n">
        <x:v>9.55755041281866</x:v>
      </x:c>
      <x:c r="P58" s="32" t="n">
        <x:v>14.904129004234</x:v>
      </x:c>
    </x:row>
    <x:row r="59">
      <x:c r="A59" s="9" t="str">
        <x:v>Packaging &amp; Container</x:v>
      </x:c>
      <x:c r="B59" s="9" t="str">
        <x:v>Otros</x:v>
      </x:c>
      <x:c r="C59" s="9" t="str">
        <x:v>VE/EBITDA</x:v>
      </x:c>
      <x:c r="D59" s="10" t="n">
        <x:v>19</x:v>
      </x:c>
      <x:c r="E59" s="31" t="n">
        <x:v>0.368421052631579</x:v>
      </x:c>
      <x:c r="F59" s="13" t="n">
        <x:v>60.509104484375</x:v>
      </x:c>
      <x:c r="G59" s="13" t="n">
        <x:v>16.4282162887467</x:v>
      </x:c>
      <x:c r="H59" s="13" t="n">
        <x:v>15.2778350791395</x:v>
      </x:c>
      <x:c r="I59" s="13" t="n">
        <x:v>2.18396760633328</x:v>
      </x:c>
      <x:c r="J59" s="31" t="n">
        <x:v>0.122937318539654</x:v>
      </x:c>
      <x:c r="K59" s="13" t="n">
        <x:v>1.03393247387837</x:v>
      </x:c>
      <x:c r="L59" s="13" t="n">
        <x:v>1.54822374059853</x:v>
      </x:c>
      <x:c r="M59" s="31" t="n">
        <x:v>0.0979319376512869</x:v>
      </x:c>
      <x:c r="N59" s="13" t="n">
        <x:v>9.70956723328831</x:v>
      </x:c>
      <x:c r="O59" s="32" t="n">
        <x:v>10.7849775815362</x:v>
      </x:c>
      <x:c r="P59" s="32" t="n">
        <x:v>15.7784503509321</x:v>
      </x:c>
    </x:row>
    <x:row r="60">
      <x:c r="A60" s="9" t="str">
        <x:v>Paper/Forest Products</x:v>
      </x:c>
      <x:c r="B60" s="9" t="str">
        <x:v>Otros</x:v>
      </x:c>
      <x:c r="C60" s="9" t="str">
        <x:v>VE/EBITDA</x:v>
      </x:c>
      <x:c r="D60" s="10" t="n">
        <x:v>6</x:v>
      </x:c>
      <x:c r="E60" s="31" t="n">
        <x:v>0.5</x:v>
      </x:c>
      <x:c r="F60" s="13" t="n">
        <x:v>7.03377046794265</x:v>
      </x:c>
      <x:c r="G60" s="13" t="n">
        <x:v>12.8505391467417</x:v>
      </x:c>
      <x:c r="H60" s="13" t="n">
        <x:v>16.6428752807592</x:v>
      </x:c>
      <x:c r="I60" s="13" t="n">
        <x:v>1.82813193074732</x:v>
      </x:c>
      <x:c r="J60" s="31" t="n">
        <x:v>0.0701364998335368</x:v>
      </x:c>
      <x:c r="K60" s="13" t="n">
        <x:v>0.757509103622379</x:v>
      </x:c>
      <x:c r="L60" s="13" t="n">
        <x:v>1.02039860017549</x:v>
      </x:c>
      <x:c r="M60" s="31" t="n">
        <x:v>0.0657864453647808</x:v>
      </x:c>
      <x:c r="N60" s="13" t="n">
        <x:v>8.18328266331112</x:v>
      </x:c>
      <x:c r="O60" s="32" t="n">
        <x:v>6.96506007871598</x:v>
      </x:c>
      <x:c r="P60" s="32" t="n">
        <x:v>15.510405513935</x:v>
      </x:c>
    </x:row>
    <x:row r="61">
      <x:c r="A61" s="9" t="str">
        <x:v>Power</x:v>
      </x:c>
      <x:c r="B61" s="9" t="str">
        <x:v>Energía</x:v>
      </x:c>
      <x:c r="C61" s="9" t="str">
        <x:v>VE/EBITDA</x:v>
      </x:c>
      <x:c r="D61" s="10" t="n">
        <x:v>46</x:v>
      </x:c>
      <x:c r="E61" s="31" t="n">
        <x:v>0.108695652173913</x:v>
      </x:c>
      <x:c r="F61" s="13" t="n">
        <x:v>20.7464736792988</x:v>
      </x:c>
      <x:c r="G61" s="13" t="n">
        <x:v>24.7411719137689</x:v>
      </x:c>
      <x:c r="H61" s="13" t="n">
        <x:v>17.5937706527414</x:v>
      </x:c>
      <x:c r="I61" s="13" t="n">
        <x:v>2.27566199114057</x:v>
      </x:c>
      <x:c r="J61" s="31" t="n">
        <x:v>0.123990939842341</x:v>
      </x:c>
      <x:c r="K61" s="13" t="n">
        <x:v>2.73604936921449</x:v>
      </x:c>
      <x:c r="L61" s="13" t="n">
        <x:v>4.69580646185064</x:v>
      </x:c>
      <x:c r="M61" s="31" t="n">
        <x:v>0.213560319222622</x:v>
      </x:c>
      <x:c r="N61" s="13" t="n">
        <x:v>12.3814103190817</x:v>
      </x:c>
      <x:c r="O61" s="32" t="n">
        <x:v>13.2903209096705</x:v>
      </x:c>
      <x:c r="P61" s="32" t="n">
        <x:v>21.8590859232574</x:v>
      </x:c>
    </x:row>
    <x:row r="62">
      <x:c r="A62" s="9" t="str">
        <x:v>Precious Metals</x:v>
      </x:c>
      <x:c r="B62" s="9" t="str">
        <x:v>Otros</x:v>
      </x:c>
      <x:c r="C62" s="9" t="str">
        <x:v>VE/EBITDA</x:v>
      </x:c>
      <x:c r="D62" s="10" t="n">
        <x:v>56</x:v>
      </x:c>
      <x:c r="E62" s="31" t="n">
        <x:v>0.857142857142857</x:v>
      </x:c>
      <x:c r="F62" s="13" t="n">
        <x:v>119.658249291324</x:v>
      </x:c>
      <x:c r="G62" s="13" t="n">
        <x:v>26.7986244203286</x:v>
      </x:c>
      <x:c r="H62" s="13" t="n">
        <x:v>16.4517970466086</x:v>
      </x:c>
      <x:c r="I62" s="13" t="n">
        <x:v>3.64009868462153</x:v>
      </x:c>
      <x:c r="J62" s="31" t="n">
        <x:v>0.235230568888767</x:v>
      </x:c>
      <x:c r="K62" s="13" t="n">
        <x:v>5.84042703270047</x:v>
      </x:c>
      <x:c r="L62" s="13" t="n">
        <x:v>5.98173702887039</x:v>
      </x:c>
      <x:c r="M62" s="31" t="n">
        <x:v>0.404310753411908</x:v>
      </x:c>
      <x:c r="N62" s="13" t="n">
        <x:v>10.6763411444313</x:v>
      </x:c>
      <x:c r="O62" s="32" t="n">
        <x:v>17.2780387809758</x:v>
      </x:c>
      <x:c r="P62" s="32" t="n">
        <x:v>14.2846683776474</x:v>
      </x:c>
    </x:row>
    <x:row r="63">
      <x:c r="A63" s="9" t="str">
        <x:v>Publishing &amp; Newspapers</x:v>
      </x:c>
      <x:c r="B63" s="9" t="str">
        <x:v>Medios y publicidad</x:v>
      </x:c>
      <x:c r="C63" s="9" t="str">
        <x:v>VE/EBITDA y VE/ventas</x:v>
      </x:c>
      <x:c r="D63" s="10" t="n">
        <x:v>19</x:v>
      </x:c>
      <x:c r="E63" s="31" t="n">
        <x:v>0.526315789473684</x:v>
      </x:c>
      <x:c r="F63" s="13" t="n">
        <x:v>18.569596487404</x:v>
      </x:c>
      <x:c r="G63" s="13" t="n">
        <x:v>15.1804367659711</x:v>
      </x:c>
      <x:c r="H63" s="13" t="n">
        <x:v>13.5088793068161</x:v>
      </x:c>
      <x:c r="I63" s="13" t="n">
        <x:v>2.28394156252412</x:v>
      </x:c>
      <x:c r="J63" s="31" t="n">
        <x:v>0.138347339203487</x:v>
      </x:c>
      <x:c r="K63" s="13" t="n">
        <x:v>1.47048312955439</x:v>
      </x:c>
      <x:c r="L63" s="13" t="n">
        <x:v>1.69940700241352</x:v>
      </x:c>
      <x:c r="M63" s="31" t="n">
        <x:v>0.0983757285616053</x:v>
      </x:c>
      <x:c r="N63" s="13" t="n">
        <x:v>11.2378175894095</x:v>
      </x:c>
      <x:c r="O63" s="32" t="n">
        <x:v>12.8951669436302</x:v>
      </x:c>
      <x:c r="P63" s="32" t="n">
        <x:v>17.1610635741843</x:v>
      </x:c>
    </x:row>
    <x:row r="64">
      <x:c r="A64" s="9" t="str">
        <x:v>R.E.I.T.</x:v>
      </x:c>
      <x:c r="B64" s="9" t="str">
        <x:v>Otros</x:v>
      </x:c>
      <x:c r="C64" s="9" t="str">
        <x:v>VE/EBITDA</x:v>
      </x:c>
      <x:c r="D64" s="10" t="n">
        <x:v>190</x:v>
      </x:c>
      <x:c r="E64" s="31" t="n">
        <x:v>0.336842105263158</x:v>
      </x:c>
      <x:c r="F64" s="13" t="n">
        <x:v>62.9834613509262</x:v>
      </x:c>
      <x:c r="G64" s="13" t="n">
        <x:v>36.9544500671789</x:v>
      </x:c>
      <x:c r="H64" s="13" t="n">
        <x:v>45.1127290610542</x:v>
      </x:c>
      <x:c r="I64" s="13" t="n">
        <x:v>1.9915152243762</x:v>
      </x:c>
      <x:c r="J64" s="31" t="n">
        <x:v>0.0503795433774178</x:v>
      </x:c>
      <x:c r="K64" s="13" t="n">
        <x:v>5.88605984315132</x:v>
      </x:c>
      <x:c r="L64" s="13" t="n">
        <x:v>10.650570831823</x:v>
      </x:c>
      <x:c r="M64" s="31" t="n">
        <x:v>0.222094833915562</x:v>
      </x:c>
      <x:c r="N64" s="13" t="n">
        <x:v>19.87117600341</x:v>
      </x:c>
      <x:c r="O64" s="32" t="n">
        <x:v>24.3199517994198</x:v>
      </x:c>
      <x:c r="P64" s="32" t="n">
        <x:v>42.7252923460872</x:v>
      </x:c>
    </x:row>
    <x:row r="65">
      <x:c r="A65" s="9" t="str">
        <x:v>Real Estate (Development)</x:v>
      </x:c>
      <x:c r="B65" s="9" t="str">
        <x:v>Inmobiliario</x:v>
      </x:c>
      <x:c r="C65" s="9" t="str">
        <x:v>VE/EBITDA y P/VC</x:v>
      </x:c>
      <x:c r="D65" s="10" t="n">
        <x:v>14</x:v>
      </x:c>
      <x:c r="E65" s="31" t="n">
        <x:v>0.785714285714286</x:v>
      </x:c>
      <x:c r="F65" s="13" t="n">
        <x:v>29.4458695183844</x:v>
      </x:c>
      <x:c r="G65" s="13" t="n">
        <x:v>11.3531634499059</x:v>
      </x:c>
      <x:c r="H65" s="13" t="n">
        <x:v>12.3412190708867</x:v>
      </x:c>
      <x:c r="I65" s="13" t="n">
        <x:v>0.993484785249172</x:v>
      </x:c>
      <x:c r="J65" s="31" t="n">
        <x:v>0.0506054591091927</x:v>
      </x:c>
      <x:c r="K65" s="13" t="n">
        <x:v>1.7726819358715</x:v>
      </x:c>
      <x:c r="L65" s="13" t="n">
        <x:v>3.03351181593191</x:v>
      </x:c>
      <x:c r="M65" s="31" t="n">
        <x:v>0.211919367006176</x:v>
      </x:c>
      <x:c r="N65" s="13" t="n">
        <x:v>10.2304985102199</x:v>
      </x:c>
      <x:c r="O65" s="32" t="n">
        <x:v>12.1604216387811</x:v>
      </x:c>
      <x:c r="P65" s="32" t="n">
        <x:v>13.4914609021214</x:v>
      </x:c>
    </x:row>
    <x:row r="66">
      <x:c r="A66" s="9" t="str">
        <x:v>Real Estate (General/Diversified)</x:v>
      </x:c>
      <x:c r="B66" s="9" t="str">
        <x:v>Inmobiliario</x:v>
      </x:c>
      <x:c r="C66" s="9" t="str">
        <x:v>VE/EBITDA y P/VC</x:v>
      </x:c>
      <x:c r="D66" s="10" t="n">
        <x:v>12</x:v>
      </x:c>
      <x:c r="E66" s="31" t="n">
        <x:v>0.583333333333333</x:v>
      </x:c>
      <x:c r="F66" s="13" t="n">
        <x:v>46.1632759930943</x:v>
      </x:c>
      <x:c r="G66" s="13" t="n">
        <x:v>40.2489878838349</x:v>
      </x:c>
      <x:c r="H66" s="13" t="n">
        <x:v>14.3269230769231</x:v>
      </x:c>
      <x:c r="I66" s="13" t="n">
        <x:v>1.16396307132496</x:v>
      </x:c>
      <x:c r="J66" s="31" t="n">
        <x:v>0.107675975075006</x:v>
      </x:c>
      <x:c r="K66" s="13" t="n">
        <x:v>4.82292889160554</x:v>
      </x:c>
      <x:c r="L66" s="13" t="n">
        <x:v>6.8261578648083</x:v>
      </x:c>
      <x:c r="M66" s="31" t="n">
        <x:v>0.220876210249425</x:v>
      </x:c>
      <x:c r="N66" s="13" t="n">
        <x:v>17.2868700789076</x:v>
      </x:c>
      <x:c r="O66" s="32" t="n">
        <x:v>25.1060607744607</x:v>
      </x:c>
      <x:c r="P66" s="32" t="n">
        <x:v>26.8736840937155</x:v>
      </x:c>
    </x:row>
    <x:row r="67">
      <x:c r="A67" s="9" t="str">
        <x:v>Real Estate (Operations &amp; Services)</x:v>
      </x:c>
      <x:c r="B67" s="9" t="str">
        <x:v>Inmobiliario</x:v>
      </x:c>
      <x:c r="C67" s="9" t="str">
        <x:v>VE/EBITDA y P/VC</x:v>
      </x:c>
      <x:c r="D67" s="10" t="n">
        <x:v>54</x:v>
      </x:c>
      <x:c r="E67" s="31" t="n">
        <x:v>0.592592592592593</x:v>
      </x:c>
      <x:c r="F67" s="13" t="n">
        <x:v>61.2898263129853</x:v>
      </x:c>
      <x:c r="G67" s="13" t="n">
        <x:v>107.335255977598</x:v>
      </x:c>
      <x:c r="H67" s="13" t="n">
        <x:v>93.5854401422378</x:v>
      </x:c>
      <x:c r="I67" s="13" t="n">
        <x:v>3.06413435061393</x:v>
      </x:c>
      <x:c r="J67" s="31" t="n">
        <x:v>0.0330328472643128</x:v>
      </x:c>
      <x:c r="K67" s="13" t="n">
        <x:v>1.23604158574598</x:v>
      </x:c>
      <x:c r="L67" s="13" t="n">
        <x:v>1.46393018097264</x:v>
      </x:c>
      <x:c r="M67" s="31" t="n">
        <x:v>0.0276226984693511</x:v>
      </x:c>
      <x:c r="N67" s="13" t="n">
        <x:v>21.9510017362995</x:v>
      </x:c>
      <x:c r="O67" s="32" t="n">
        <x:v>36.95368046935</x:v>
      </x:c>
      <x:c r="P67" s="32" t="n">
        <x:v>49.5922749698082</x:v>
      </x:c>
    </x:row>
    <x:row r="68">
      <x:c r="A68" s="9" t="str">
        <x:v>Recreation</x:v>
      </x:c>
      <x:c r="B68" s="9" t="str">
        <x:v>Turismo y ocio</x:v>
      </x:c>
      <x:c r="C68" s="9" t="str">
        <x:v>VE/EBITDA</x:v>
      </x:c>
      <x:c r="D68" s="10" t="n">
        <x:v>49</x:v>
      </x:c>
      <x:c r="E68" s="31" t="n">
        <x:v>0.571428571428571</x:v>
      </x:c>
      <x:c r="F68" s="13" t="n">
        <x:v>24.8493754469478</x:v>
      </x:c>
      <x:c r="G68" s="13" t="n">
        <x:v>119.014986919977</x:v>
      </x:c>
      <x:c r="H68" s="13" t="n">
        <x:v>38.0152852620874</x:v>
      </x:c>
      <x:c r="I68" s="13" t="n">
        <x:v>4.0276834572995</x:v>
      </x:c>
      <x:c r="J68" s="31" t="n">
        <x:v>-0.127611559717253</x:v>
      </x:c>
      <x:c r="K68" s="13" t="n">
        <x:v>1.26143593534559</x:v>
      </x:c>
      <x:c r="L68" s="13" t="n">
        <x:v>1.94042778252431</x:v>
      </x:c>
      <x:c r="M68" s="31" t="n">
        <x:v>0.0805692243597213</x:v>
      </x:c>
      <x:c r="N68" s="13" t="n">
        <x:v>10.3908723194284</x:v>
      </x:c>
      <x:c r="O68" s="32" t="n">
        <x:v>11.6639935526796</x:v>
      </x:c>
      <x:c r="P68" s="32" t="n">
        <x:v>23.9573246179466</x:v>
      </x:c>
    </x:row>
    <x:row r="69">
      <x:c r="A69" s="9" t="str">
        <x:v>Reinsurance</x:v>
      </x:c>
      <x:c r="B69" s="9" t="str">
        <x:v>Financiero</x:v>
      </x:c>
      <x:c r="C69" s="9" t="str">
        <x:v>P/VC y PER</x:v>
      </x:c>
      <x:c r="D69" s="10" t="n">
        <x:v>1</x:v>
      </x:c>
      <x:c r="E69" s="31" t="n">
        <x:v>0</x:v>
      </x:c>
      <x:c r="F69" s="13" t="n">
        <x:v>18.647280334728</x:v>
      </x:c>
      <x:c r="G69" s="13" t="n">
        <x:v>15.421107266436</x:v>
      </x:c>
      <x:c r="H69" s="13" t="n">
        <x:v>8.1384</x:v>
      </x:c>
      <x:c r="I69" s="13" t="n">
        <x:v>1.02311753902663</x:v>
      </x:c>
      <x:c r="J69" s="31" t="n">
        <x:v>0.077918576435697</x:v>
      </x:c>
      <x:c r="K69" s="13" t="n">
        <x:v>0.599448529411765</x:v>
      </x:c>
      <x:c r="L69" s="13" t="n">
        <x:v>0.65265028118587</x:v>
      </x:c>
      <x:c r="M69" s="31" t="n">
        <x:v>0.0723402809220799</x:v>
      </x:c>
      <x:c r="N69" s="13" t="n">
        <x:v>8.67090294946965</x:v>
      </x:c>
      <x:c r="O69" s="32" t="n">
        <x:v>10.9448961440373</x:v>
      </x:c>
      <x:c r="P69" s="32" t="n">
        <x:v>9.02194839260939</x:v>
      </x:c>
    </x:row>
    <x:row r="70">
      <x:c r="A70" s="9" t="str">
        <x:v>Restaurant/Dining</x:v>
      </x:c>
      <x:c r="B70" s="9" t="str">
        <x:v>Turismo y ocio</x:v>
      </x:c>
      <x:c r="C70" s="9" t="str">
        <x:v>VE/EBITDA</x:v>
      </x:c>
      <x:c r="D70" s="10" t="n">
        <x:v>64</x:v>
      </x:c>
      <x:c r="E70" s="31" t="n">
        <x:v>0.46875</x:v>
      </x:c>
      <x:c r="F70" s="13" t="n">
        <x:v>67.6687085462445</x:v>
      </x:c>
      <x:c r="G70" s="13" t="n">
        <x:v>48.3288627567371</x:v>
      </x:c>
      <x:c r="H70" s="13" t="n">
        <x:v>31.8978709640846</x:v>
      </x:c>
      <x:c r="I70" s="13" t="n">
        <x:v>74.7353186361567</x:v>
      </x:c>
      <x:c r="J70" s="31" t="n">
        <x:v>0.00102751183004746</x:v>
      </x:c>
      <x:c r="K70" s="13" t="n">
        <x:v>3.34077184688272</x:v>
      </x:c>
      <x:c r="L70" s="13" t="n">
        <x:v>4.16551439223226</x:v>
      </x:c>
      <x:c r="M70" s="31" t="n">
        <x:v>0.137921604848594</x:v>
      </x:c>
      <x:c r="N70" s="13" t="n">
        <x:v>17.4942960527821</x:v>
      </x:c>
      <x:c r="O70" s="32" t="n">
        <x:v>21.3992630071173</x:v>
      </x:c>
      <x:c r="P70" s="32" t="n">
        <x:v>30.1511897079547</x:v>
      </x:c>
    </x:row>
    <x:row r="71">
      <x:c r="A71" s="9" t="str">
        <x:v>Retail (Automotive)</x:v>
      </x:c>
      <x:c r="B71" s="9" t="str">
        <x:v>Consumo</x:v>
      </x:c>
      <x:c r="C71" s="9" t="str">
        <x:v>VE/EBITDA y VE/ventas</x:v>
      </x:c>
      <x:c r="D71" s="10" t="n">
        <x:v>34</x:v>
      </x:c>
      <x:c r="E71" s="31" t="n">
        <x:v>0.558823529411765</x:v>
      </x:c>
      <x:c r="F71" s="13" t="n">
        <x:v>34.2613186882776</x:v>
      </x:c>
      <x:c r="G71" s="13" t="n">
        <x:v>54.826415084049</x:v>
      </x:c>
      <x:c r="H71" s="13" t="n">
        <x:v>21.8816235712665</x:v>
      </x:c>
      <x:c r="I71" s="13" t="n">
        <x:v>7.47867003325012</x:v>
      </x:c>
      <x:c r="J71" s="31" t="n">
        <x:v>0.343840647302544</x:v>
      </x:c>
      <x:c r="K71" s="13" t="n">
        <x:v>0.892653702855193</x:v>
      </x:c>
      <x:c r="L71" s="13" t="n">
        <x:v>1.27056740968803</x:v>
      </x:c>
      <x:c r="M71" s="31" t="n">
        <x:v>0.0583859632400311</x:v>
      </x:c>
      <x:c r="N71" s="13" t="n">
        <x:v>14.7872898576383</x:v>
      </x:c>
      <x:c r="O71" s="32" t="n">
        <x:v>17.5577197775062</x:v>
      </x:c>
      <x:c r="P71" s="32" t="n">
        <x:v>21.7263285243437</x:v>
      </x:c>
    </x:row>
    <x:row r="72">
      <x:c r="A72" s="9" t="str">
        <x:v>Retail (Building Supply)</x:v>
      </x:c>
      <x:c r="B72" s="9" t="str">
        <x:v>Consumo</x:v>
      </x:c>
      <x:c r="C72" s="9" t="str">
        <x:v>VE/EBITDA y VE/ventas</x:v>
      </x:c>
      <x:c r="D72" s="10" t="n">
        <x:v>14</x:v>
      </x:c>
      <x:c r="E72" s="31" t="n">
        <x:v>0.5</x:v>
      </x:c>
      <x:c r="F72" s="13" t="n">
        <x:v>31.2169993799749</x:v>
      </x:c>
      <x:c r="G72" s="13" t="n">
        <x:v>23.4652767182357</x:v>
      </x:c>
      <x:c r="H72" s="13" t="n">
        <x:v>23.1390416422259</x:v>
      </x:c>
      <x:c r="I72" s="13" t="n">
        <x:v>132.204407116864</x:v>
      </x:c>
      <x:c r="J72" s="31" t="str">
        <x:v>NA</x:v>
      </x:c>
      <x:c r="K72" s="13" t="n">
        <x:v>1.8471908099979</x:v>
      </x:c>
      <x:c r="L72" s="13" t="n">
        <x:v>2.25899267612438</x:v>
      </x:c>
      <x:c r="M72" s="31" t="n">
        <x:v>0.11819306915492</x:v>
      </x:c>
      <x:c r="N72" s="13" t="n">
        <x:v>14.4221816452556</x:v>
      </x:c>
      <x:c r="O72" s="32" t="n">
        <x:v>15.8922467358894</x:v>
      </x:c>
      <x:c r="P72" s="32" t="n">
        <x:v>19.1027719531394</x:v>
      </x:c>
    </x:row>
    <x:row r="73">
      <x:c r="A73" s="9" t="str">
        <x:v>Retail (Distributors)</x:v>
      </x:c>
      <x:c r="B73" s="9" t="str">
        <x:v>Consumo</x:v>
      </x:c>
      <x:c r="C73" s="9" t="str">
        <x:v>VE/EBITDA y VE/ventas</x:v>
      </x:c>
      <x:c r="D73" s="10" t="n">
        <x:v>62</x:v>
      </x:c>
      <x:c r="E73" s="31" t="n">
        <x:v>0.451612903225807</x:v>
      </x:c>
      <x:c r="F73" s="13" t="n">
        <x:v>103.562774633873</x:v>
      </x:c>
      <x:c r="G73" s="13" t="n">
        <x:v>28.7965990567175</x:v>
      </x:c>
      <x:c r="H73" s="13" t="n">
        <x:v>43.8433358422842</x:v>
      </x:c>
      <x:c r="I73" s="13" t="n">
        <x:v>4.04170735992341</x:v>
      </x:c>
      <x:c r="J73" s="31" t="n">
        <x:v>0.183337324273327</x:v>
      </x:c>
      <x:c r="K73" s="13" t="n">
        <x:v>1.51335873305158</x:v>
      </x:c>
      <x:c r="L73" s="13" t="n">
        <x:v>1.89480219177548</x:v>
      </x:c>
      <x:c r="M73" s="31" t="n">
        <x:v>0.103182347268594</x:v>
      </x:c>
      <x:c r="N73" s="13" t="n">
        <x:v>13.7083073279968</x:v>
      </x:c>
      <x:c r="O73" s="32" t="n">
        <x:v>16.6591171321281</x:v>
      </x:c>
      <x:c r="P73" s="32" t="n">
        <x:v>17.1090896182241</x:v>
      </x:c>
    </x:row>
    <x:row r="74">
      <x:c r="A74" s="9" t="str">
        <x:v>Retail (General)</x:v>
      </x:c>
      <x:c r="B74" s="9" t="str">
        <x:v>Consumo</x:v>
      </x:c>
      <x:c r="C74" s="9" t="str">
        <x:v>VE/EBITDA y VE/ventas</x:v>
      </x:c>
      <x:c r="D74" s="10" t="n">
        <x:v>23</x:v>
      </x:c>
      <x:c r="E74" s="31" t="n">
        <x:v>0.260869565217391</x:v>
      </x:c>
      <x:c r="F74" s="13" t="n">
        <x:v>46.6761895327083</x:v>
      </x:c>
      <x:c r="G74" s="13" t="n">
        <x:v>51.0040211017659</x:v>
      </x:c>
      <x:c r="H74" s="13" t="n">
        <x:v>23.9699415266987</x:v>
      </x:c>
      <x:c r="I74" s="13" t="n">
        <x:v>7.19270712444991</x:v>
      </x:c>
      <x:c r="J74" s="31" t="n">
        <x:v>0.26052308288353</x:v>
      </x:c>
      <x:c r="K74" s="13" t="n">
        <x:v>2.00789822334243</x:v>
      </x:c>
      <x:c r="L74" s="13" t="n">
        <x:v>2.1092145816584</x:v>
      </x:c>
      <x:c r="M74" s="31" t="n">
        <x:v>0.0650179801976684</x:v>
      </x:c>
      <x:c r="N74" s="13" t="n">
        <x:v>17.3785033357186</x:v>
      </x:c>
      <x:c r="O74" s="32" t="n">
        <x:v>20.8714653326687</x:v>
      </x:c>
      <x:c r="P74" s="32" t="n">
        <x:v>32.4376517932853</x:v>
      </x:c>
    </x:row>
    <x:row r="75">
      <x:c r="A75" s="9" t="str">
        <x:v>Retail (Grocery and Food)</x:v>
      </x:c>
      <x:c r="B75" s="9" t="str">
        <x:v>Consumo</x:v>
      </x:c>
      <x:c r="C75" s="9" t="str">
        <x:v>VE/EBITDA y VE/ventas</x:v>
      </x:c>
      <x:c r="D75" s="10" t="n">
        <x:v>15</x:v>
      </x:c>
      <x:c r="E75" s="31" t="n">
        <x:v>0.4</x:v>
      </x:c>
      <x:c r="F75" s="13" t="n">
        <x:v>17.4568610819383</x:v>
      </x:c>
      <x:c r="G75" s="13" t="n">
        <x:v>20.5414512450264</x:v>
      </x:c>
      <x:c r="H75" s="13" t="n">
        <x:v>14.3385970156839</x:v>
      </x:c>
      <x:c r="I75" s="13" t="n">
        <x:v>3.93486938632371</x:v>
      </x:c>
      <x:c r="J75" s="31" t="n">
        <x:v>0.128975740478353</x:v>
      </x:c>
      <x:c r="K75" s="13" t="n">
        <x:v>0.340014976652405</x:v>
      </x:c>
      <x:c r="L75" s="13" t="n">
        <x:v>0.490094991256691</x:v>
      </x:c>
      <x:c r="M75" s="31" t="n">
        <x:v>0.018461572111635</x:v>
      </x:c>
      <x:c r="N75" s="13" t="n">
        <x:v>8.94159661279415</x:v>
      </x:c>
      <x:c r="O75" s="32" t="n">
        <x:v>9.06931475103077</x:v>
      </x:c>
      <x:c r="P75" s="32" t="n">
        <x:v>26.5332894075953</x:v>
      </x:c>
    </x:row>
    <x:row r="76">
      <x:c r="A76" s="9" t="str">
        <x:v>Retail (REITs)</x:v>
      </x:c>
      <x:c r="B76" s="9" t="str">
        <x:v>Inmobiliario</x:v>
      </x:c>
      <x:c r="C76" s="9" t="str">
        <x:v>VE/EBITDA y P/VC</x:v>
      </x:c>
      <x:c r="D76" s="10" t="n">
        <x:v>26</x:v>
      </x:c>
      <x:c r="E76" s="31" t="n">
        <x:v>0.0769230769230769</x:v>
      </x:c>
      <x:c r="F76" s="13" t="n">
        <x:v>109.925879354713</x:v>
      </x:c>
      <x:c r="G76" s="13" t="n">
        <x:v>368.68693061769</x:v>
      </x:c>
      <x:c r="H76" s="13" t="n">
        <x:v>44.3868514728287</x:v>
      </x:c>
      <x:c r="I76" s="13" t="n">
        <x:v>2.07565447564478</x:v>
      </x:c>
      <x:c r="J76" s="31" t="n">
        <x:v>0.0636437540035101</x:v>
      </x:c>
      <x:c r="K76" s="13" t="n">
        <x:v>7.81505807345182</x:v>
      </x:c>
      <x:c r="L76" s="13" t="n">
        <x:v>12.0436348617956</x:v>
      </x:c>
      <x:c r="M76" s="31" t="n">
        <x:v>0.386444086512235</x:v>
      </x:c>
      <x:c r="N76" s="13" t="n">
        <x:v>16.7268614377028</x:v>
      </x:c>
      <x:c r="O76" s="32" t="n">
        <x:v>17.9300145431129</x:v>
      </x:c>
      <x:c r="P76" s="32" t="n">
        <x:v>31.1652714639594</x:v>
      </x:c>
    </x:row>
    <x:row r="77">
      <x:c r="A77" s="9" t="str">
        <x:v>Retail (Special Lines)</x:v>
      </x:c>
      <x:c r="B77" s="9" t="str">
        <x:v>Consumo</x:v>
      </x:c>
      <x:c r="C77" s="9" t="str">
        <x:v>VE/EBITDA y VE/ventas</x:v>
      </x:c>
      <x:c r="D77" s="10" t="n">
        <x:v>94</x:v>
      </x:c>
      <x:c r="E77" s="31" t="n">
        <x:v>0.617021276595745</x:v>
      </x:c>
      <x:c r="F77" s="13" t="n">
        <x:v>26.0427091778328</x:v>
      </x:c>
      <x:c r="G77" s="13" t="n">
        <x:v>314.009761634912</x:v>
      </x:c>
      <x:c r="H77" s="13" t="n">
        <x:v>21.5208003240587</x:v>
      </x:c>
      <x:c r="I77" s="13" t="n">
        <x:v>7.25426333951697</x:v>
      </x:c>
      <x:c r="J77" s="31" t="n">
        <x:v>0.301150755894425</x:v>
      </x:c>
      <x:c r="K77" s="13" t="n">
        <x:v>1.43375629753543</x:v>
      </x:c>
      <x:c r="L77" s="13" t="n">
        <x:v>1.62608387057357</x:v>
      </x:c>
      <x:c r="M77" s="31" t="n">
        <x:v>0.0807616775541373</x:v>
      </x:c>
      <x:c r="N77" s="13" t="n">
        <x:v>11.4675493430743</x:v>
      </x:c>
      <x:c r="O77" s="32" t="n">
        <x:v>16.5030281067818</x:v>
      </x:c>
      <x:c r="P77" s="32" t="n">
        <x:v>20.0177959466746</x:v>
      </x:c>
    </x:row>
    <x:row r="78">
      <x:c r="A78" s="9" t="str">
        <x:v>Rubber&amp; Tires</x:v>
      </x:c>
      <x:c r="B78" s="9" t="str">
        <x:v>Otros</x:v>
      </x:c>
      <x:c r="C78" s="9" t="str">
        <x:v>VE/EBITDA</x:v>
      </x:c>
      <x:c r="D78" s="10" t="n">
        <x:v>3</x:v>
      </x:c>
      <x:c r="E78" s="31" t="n">
        <x:v>1</x:v>
      </x:c>
      <x:c r="F78" s="13" t="n">
        <x:v>35.8114285714286</x:v>
      </x:c>
      <x:c r="G78" s="13" t="str">
        <x:v>NA</x:v>
      </x:c>
      <x:c r="H78" s="13" t="n">
        <x:v>7.3</x:v>
      </x:c>
      <x:c r="I78" s="13" t="n">
        <x:v>0.789149706580098</x:v>
      </x:c>
      <x:c r="J78" s="31" t="n">
        <x:v>-0.364080008377841</x:v>
      </x:c>
      <x:c r="K78" s="13" t="n">
        <x:v>0.138028782658118</x:v>
      </x:c>
      <x:c r="L78" s="13" t="n">
        <x:v>0.588447595154089</x:v>
      </x:c>
      <x:c r="M78" s="31" t="n">
        <x:v>0.0257113421885932</x:v>
      </x:c>
      <x:c r="N78" s="13" t="n">
        <x:v>6.74402471699488</x:v>
      </x:c>
      <x:c r="O78" s="32" t="n">
        <x:v>6.74358919043131</x:v>
      </x:c>
      <x:c r="P78" s="32" t="n">
        <x:v>22.8416286007889</x:v>
      </x:c>
    </x:row>
    <x:row r="79">
      <x:c r="A79" s="9" t="str">
        <x:v>Semiconductor</x:v>
      </x:c>
      <x:c r="B79" s="9" t="str">
        <x:v>Otros</x:v>
      </x:c>
      <x:c r="C79" s="9" t="str">
        <x:v>VE/EBITDA</x:v>
      </x:c>
      <x:c r="D79" s="10" t="n">
        <x:v>66</x:v>
      </x:c>
      <x:c r="E79" s="31" t="n">
        <x:v>0.621212121212121</x:v>
      </x:c>
      <x:c r="F79" s="13" t="n">
        <x:v>70.1348218633825</x:v>
      </x:c>
      <x:c r="G79" s="13" t="n">
        <x:v>100.184403342825</x:v>
      </x:c>
      <x:c r="H79" s="13" t="n">
        <x:v>37.2926573159915</x:v>
      </x:c>
      <x:c r="I79" s="13" t="n">
        <x:v>13.3121762094614</x:v>
      </x:c>
      <x:c r="J79" s="31" t="n">
        <x:v>0.313647157765139</x:v>
      </x:c>
      <x:c r="K79" s="13" t="n">
        <x:v>15.4622675057474</x:v>
      </x:c>
      <x:c r="L79" s="13" t="n">
        <x:v>15.7006493827806</x:v>
      </x:c>
      <x:c r="M79" s="31" t="n">
        <x:v>0.353102103017413</x:v>
      </x:c>
      <x:c r="N79" s="13" t="n">
        <x:v>34.7530988057528</x:v>
      </x:c>
      <x:c r="O79" s="32" t="n">
        <x:v>42.6994273504477</x:v>
      </x:c>
      <x:c r="P79" s="32" t="n">
        <x:v>44.2986309983463</x:v>
      </x:c>
    </x:row>
    <x:row r="80">
      <x:c r="A80" s="9" t="str">
        <x:v>Semiconductor Equip</x:v>
      </x:c>
      <x:c r="B80" s="9" t="str">
        <x:v>Otros</x:v>
      </x:c>
      <x:c r="C80" s="9" t="str">
        <x:v>VE/EBITDA</x:v>
      </x:c>
      <x:c r="D80" s="10" t="n">
        <x:v>31</x:v>
      </x:c>
      <x:c r="E80" s="31" t="n">
        <x:v>0.451612903225807</x:v>
      </x:c>
      <x:c r="F80" s="13" t="n">
        <x:v>47.5824417009039</x:v>
      </x:c>
      <x:c r="G80" s="13" t="n">
        <x:v>46.8252340629288</x:v>
      </x:c>
      <x:c r="H80" s="13" t="n">
        <x:v>41.5837184271214</x:v>
      </x:c>
      <x:c r="I80" s="13" t="n">
        <x:v>9.702593586232</x:v>
      </x:c>
      <x:c r="J80" s="31" t="n">
        <x:v>0.357779731627476</x:v>
      </x:c>
      <x:c r="K80" s="13" t="n">
        <x:v>7.48907500770059</x:v>
      </x:c>
      <x:c r="L80" s="13" t="n">
        <x:v>7.60700904339778</x:v>
      </x:c>
      <x:c r="M80" s="31" t="n">
        <x:v>0.262876676690749</x:v>
      </x:c>
      <x:c r="N80" s="13" t="n">
        <x:v>24.7432463754865</x:v>
      </x:c>
      <x:c r="O80" s="32" t="n">
        <x:v>26.1802369583196</x:v>
      </x:c>
      <x:c r="P80" s="32" t="n">
        <x:v>28.8106719523364</x:v>
      </x:c>
    </x:row>
    <x:row r="81">
      <x:c r="A81" s="9" t="str">
        <x:v>Shipbuilding &amp; Marine</x:v>
      </x:c>
      <x:c r="B81" s="9" t="str">
        <x:v>Otros</x:v>
      </x:c>
      <x:c r="C81" s="9" t="str">
        <x:v>VE/EBITDA</x:v>
      </x:c>
      <x:c r="D81" s="10" t="n">
        <x:v>8</x:v>
      </x:c>
      <x:c r="E81" s="31" t="n">
        <x:v>0.625</x:v>
      </x:c>
      <x:c r="F81" s="13" t="n">
        <x:v>13.7036939195374</x:v>
      </x:c>
      <x:c r="G81" s="13" t="n">
        <x:v>18.8731766127535</x:v>
      </x:c>
      <x:c r="H81" s="13" t="n">
        <x:v>11.5648715090983</x:v>
      </x:c>
      <x:c r="I81" s="13" t="n">
        <x:v>1.49921220967094</x:v>
      </x:c>
      <x:c r="J81" s="31" t="n">
        <x:v>0.101536246135571</x:v>
      </x:c>
      <x:c r="K81" s="13" t="n">
        <x:v>1.4536264965439</x:v>
      </x:c>
      <x:c r="L81" s="13" t="n">
        <x:v>1.73625376165767</x:v>
      </x:c>
      <x:c r="M81" s="31" t="n">
        <x:v>0.135173293029885</x:v>
      </x:c>
      <x:c r="N81" s="13" t="n">
        <x:v>7.95300749877978</x:v>
      </x:c>
      <x:c r="O81" s="32" t="n">
        <x:v>8.5077077494396</x:v>
      </x:c>
      <x:c r="P81" s="32" t="n">
        <x:v>12.8122853755459</x:v>
      </x:c>
    </x:row>
    <x:row r="82">
      <x:c r="A82" s="9" t="str">
        <x:v>Shoe</x:v>
      </x:c>
      <x:c r="B82" s="9" t="str">
        <x:v>Otros</x:v>
      </x:c>
      <x:c r="C82" s="9" t="str">
        <x:v>VE/EBITDA</x:v>
      </x:c>
      <x:c r="D82" s="10" t="n">
        <x:v>11</x:v>
      </x:c>
      <x:c r="E82" s="31" t="n">
        <x:v>0.363636363636364</x:v>
      </x:c>
      <x:c r="F82" s="13" t="n">
        <x:v>18.6965825923419</x:v>
      </x:c>
      <x:c r="G82" s="13" t="n">
        <x:v>24.4748276628436</x:v>
      </x:c>
      <x:c r="H82" s="13" t="n">
        <x:v>17.1044912497946</x:v>
      </x:c>
      <x:c r="I82" s="13" t="n">
        <x:v>6.06029946049133</x:v>
      </x:c>
      <x:c r="J82" s="31" t="n">
        <x:v>0.194897119341564</x:v>
      </x:c>
      <x:c r="K82" s="13" t="n">
        <x:v>1.95307950309742</x:v>
      </x:c>
      <x:c r="L82" s="13" t="n">
        <x:v>2.04097652187197</x:v>
      </x:c>
      <x:c r="M82" s="31" t="n">
        <x:v>0.0913903063742826</x:v>
      </x:c>
      <x:c r="N82" s="13" t="n">
        <x:v>16.8647395238731</x:v>
      </x:c>
      <x:c r="O82" s="32" t="n">
        <x:v>17.1882212957984</x:v>
      </x:c>
      <x:c r="P82" s="32" t="n">
        <x:v>22.318821685005</x:v>
      </x:c>
    </x:row>
    <x:row r="83">
      <x:c r="A83" s="9" t="str">
        <x:v>Software (Entertainment)</x:v>
      </x:c>
      <x:c r="B83" s="9" t="str">
        <x:v>Medios y publicidad</x:v>
      </x:c>
      <x:c r="C83" s="9" t="str">
        <x:v>VE/EBITDA y VE/ventas</x:v>
      </x:c>
      <x:c r="D83" s="10" t="n">
        <x:v>77</x:v>
      </x:c>
      <x:c r="E83" s="31" t="n">
        <x:v>0.714285714285714</x:v>
      </x:c>
      <x:c r="F83" s="13" t="n">
        <x:v>70.7436272902149</x:v>
      </x:c>
      <x:c r="G83" s="13" t="n">
        <x:v>39.3402877313416</x:v>
      </x:c>
      <x:c r="H83" s="13" t="n">
        <x:v>18.5240491107255</x:v>
      </x:c>
      <x:c r="I83" s="13" t="n">
        <x:v>9.09809515859231</x:v>
      </x:c>
      <x:c r="J83" s="31" t="n">
        <x:v>0.365088506050508</x:v>
      </x:c>
      <x:c r="K83" s="13" t="n">
        <x:v>9.01462875531219</x:v>
      </x:c>
      <x:c r="L83" s="13" t="n">
        <x:v>9.12764468187753</x:v>
      </x:c>
      <x:c r="M83" s="31" t="n">
        <x:v>0.336688123439056</x:v>
      </x:c>
      <x:c r="N83" s="13" t="n">
        <x:v>22.0142345905125</x:v>
      </x:c>
      <x:c r="O83" s="32" t="n">
        <x:v>26.1573412681518</x:v>
      </x:c>
      <x:c r="P83" s="32" t="n">
        <x:v>26.9760606090812</x:v>
      </x:c>
    </x:row>
    <x:row r="84">
      <x:c r="A84" s="9" t="str">
        <x:v>Software (Internet)</x:v>
      </x:c>
      <x:c r="B84" s="9" t="str">
        <x:v>Software y datos</x:v>
      </x:c>
      <x:c r="C84" s="9" t="str">
        <x:v>VE/ventas y VE/EBITDA</x:v>
      </x:c>
      <x:c r="D84" s="10" t="n">
        <x:v>29</x:v>
      </x:c>
      <x:c r="E84" s="31" t="n">
        <x:v>0.724137931034483</x:v>
      </x:c>
      <x:c r="F84" s="13" t="n">
        <x:v>162.980788421981</x:v>
      </x:c>
      <x:c r="G84" s="13" t="n">
        <x:v>67.2114365044658</x:v>
      </x:c>
      <x:c r="H84" s="13" t="n">
        <x:v>64.8122609298067</x:v>
      </x:c>
      <x:c r="I84" s="13" t="n">
        <x:v>10.8557371355449</x:v>
      </x:c>
      <x:c r="J84" s="31" t="n">
        <x:v>-0.0146996221749559</x:v>
      </x:c>
      <x:c r="K84" s="13" t="n">
        <x:v>8.7587555372185</x:v>
      </x:c>
      <x:c r="L84" s="13" t="n">
        <x:v>9.56103661868304</x:v>
      </x:c>
      <x:c r="M84" s="31" t="n">
        <x:v>0.0373884018951625</x:v>
      </x:c>
      <x:c r="N84" s="13" t="n">
        <x:v>30.2606038462683</x:v>
      </x:c>
      <x:c r="O84" s="32" t="n">
        <x:v>100.446002880424</x:v>
      </x:c>
      <x:c r="P84" s="32" t="n">
        <x:v>172.989542059966</x:v>
      </x:c>
    </x:row>
    <x:row r="85">
      <x:c r="A85" s="9" t="str">
        <x:v>Software (System &amp; Application)</x:v>
      </x:c>
      <x:c r="B85" s="9" t="str">
        <x:v>Software y datos</x:v>
      </x:c>
      <x:c r="C85" s="9" t="str">
        <x:v>VE/ventas y VE/EBITDA</x:v>
      </x:c>
      <x:c r="D85" s="10" t="n">
        <x:v>309</x:v>
      </x:c>
      <x:c r="E85" s="31" t="n">
        <x:v>0.702265372168285</x:v>
      </x:c>
      <x:c r="F85" s="13" t="n">
        <x:v>122.491809470585</x:v>
      </x:c>
      <x:c r="G85" s="13" t="n">
        <x:v>79.1742086869903</x:v>
      </x:c>
      <x:c r="H85" s="13" t="n">
        <x:v>34.133892735516</x:v>
      </x:c>
      <x:c r="I85" s="13" t="n">
        <x:v>9.13708967699403</x:v>
      </x:c>
      <x:c r="J85" s="31" t="n">
        <x:v>0.296248946912893</x:v>
      </x:c>
      <x:c r="K85" s="13" t="n">
        <x:v>11.0072213291358</x:v>
      </x:c>
      <x:c r="L85" s="13" t="n">
        <x:v>11.4087636730966</x:v>
      </x:c>
      <x:c r="M85" s="31" t="n">
        <x:v>0.332074959585317</x:v>
      </x:c>
      <x:c r="N85" s="13" t="n">
        <x:v>24.4835357698254</x:v>
      </x:c>
      <x:c r="O85" s="32" t="n">
        <x:v>31.7523533629561</x:v>
      </x:c>
      <x:c r="P85" s="32" t="n">
        <x:v>32.4123394913612</x:v>
      </x:c>
    </x:row>
    <x:row r="86">
      <x:c r="A86" s="9" t="str">
        <x:v>Steel</x:v>
      </x:c>
      <x:c r="B86" s="9" t="str">
        <x:v>Otros</x:v>
      </x:c>
      <x:c r="C86" s="9" t="str">
        <x:v>VE/EBITDA</x:v>
      </x:c>
      <x:c r="D86" s="10" t="n">
        <x:v>19</x:v>
      </x:c>
      <x:c r="E86" s="31" t="n">
        <x:v>0.368421052631579</x:v>
      </x:c>
      <x:c r="F86" s="13" t="n">
        <x:v>77.3652427361825</x:v>
      </x:c>
      <x:c r="G86" s="13" t="n">
        <x:v>47.5753597348331</x:v>
      </x:c>
      <x:c r="H86" s="13" t="n">
        <x:v>16.853381956237</x:v>
      </x:c>
      <x:c r="I86" s="13" t="n">
        <x:v>1.87581628205375</x:v>
      </x:c>
      <x:c r="J86" s="31" t="n">
        <x:v>0.0367917256623107</x:v>
      </x:c>
      <x:c r="K86" s="13" t="n">
        <x:v>0.990058631572723</x:v>
      </x:c>
      <x:c r="L86" s="13" t="n">
        <x:v>1.16923750622406</x:v>
      </x:c>
      <x:c r="M86" s="31" t="n">
        <x:v>0.0410698435746191</x:v>
      </x:c>
      <x:c r="N86" s="13" t="n">
        <x:v>11.5909777899304</x:v>
      </x:c>
      <x:c r="O86" s="32" t="n">
        <x:v>11.0499990250064</x:v>
      </x:c>
      <x:c r="P86" s="32" t="n">
        <x:v>24.5596376529191</x:v>
      </x:c>
    </x:row>
    <x:row r="87">
      <x:c r="A87" s="9" t="str">
        <x:v>Telecom (Wireless)</x:v>
      </x:c>
      <x:c r="B87" s="9" t="str">
        <x:v>Otros</x:v>
      </x:c>
      <x:c r="C87" s="9" t="str">
        <x:v>VE/EBITDA</x:v>
      </x:c>
      <x:c r="D87" s="10" t="n">
        <x:v>12</x:v>
      </x:c>
      <x:c r="E87" s="31" t="n">
        <x:v>0.75</x:v>
      </x:c>
      <x:c r="F87" s="13" t="n">
        <x:v>21.6424663194929</x:v>
      </x:c>
      <x:c r="G87" s="13" t="n">
        <x:v>107.135759432626</x:v>
      </x:c>
      <x:c r="H87" s="13" t="n">
        <x:v>35.6268454449549</x:v>
      </x:c>
      <x:c r="I87" s="13" t="n">
        <x:v>3.47189936412773</x:v>
      </x:c>
      <x:c r="J87" s="31" t="n">
        <x:v>0.160613964961845</x:v>
      </x:c>
      <x:c r="K87" s="13" t="n">
        <x:v>2.47888505145568</x:v>
      </x:c>
      <x:c r="L87" s="13" t="n">
        <x:v>3.71703947591165</x:v>
      </x:c>
      <x:c r="M87" s="31" t="n">
        <x:v>0.197365682085944</x:v>
      </x:c>
      <x:c r="N87" s="13" t="n">
        <x:v>8.97417509271724</x:v>
      </x:c>
      <x:c r="O87" s="32" t="n">
        <x:v>10.7521602361673</x:v>
      </x:c>
      <x:c r="P87" s="32" t="n">
        <x:v>18.8301867273793</x:v>
      </x:c>
    </x:row>
    <x:row r="88">
      <x:c r="A88" s="9" t="str">
        <x:v>Telecom. Equipment</x:v>
      </x:c>
      <x:c r="B88" s="9" t="str">
        <x:v>Otros</x:v>
      </x:c>
      <x:c r="C88" s="9" t="str">
        <x:v>VE/EBITDA</x:v>
      </x:c>
      <x:c r="D88" s="10" t="n">
        <x:v>57</x:v>
      </x:c>
      <x:c r="E88" s="31" t="n">
        <x:v>0.68421052631579</x:v>
      </x:c>
      <x:c r="F88" s="13" t="n">
        <x:v>125.461367481853</x:v>
      </x:c>
      <x:c r="G88" s="13" t="n">
        <x:v>84.716084187086</x:v>
      </x:c>
      <x:c r="H88" s="13" t="n">
        <x:v>39.4739575700508</x:v>
      </x:c>
      <x:c r="I88" s="13" t="n">
        <x:v>8.37111636496703</x:v>
      </x:c>
      <x:c r="J88" s="31" t="n">
        <x:v>0.249565605302701</x:v>
      </x:c>
      <x:c r="K88" s="13" t="n">
        <x:v>6.13003362314021</x:v>
      </x:c>
      <x:c r="L88" s="13" t="n">
        <x:v>6.51609409586654</x:v>
      </x:c>
      <x:c r="M88" s="31" t="n">
        <x:v>0.209195350674148</x:v>
      </x:c>
      <x:c r="N88" s="13" t="n">
        <x:v>24.0739362043758</x:v>
      </x:c>
      <x:c r="O88" s="32" t="n">
        <x:v>27.2039261347207</x:v>
      </x:c>
      <x:c r="P88" s="32" t="n">
        <x:v>30.8632928738412</x:v>
      </x:c>
    </x:row>
    <x:row r="89">
      <x:c r="A89" s="9" t="str">
        <x:v>Telecom. Services</x:v>
      </x:c>
      <x:c r="B89" s="9" t="str">
        <x:v>Otros</x:v>
      </x:c>
      <x:c r="C89" s="9" t="str">
        <x:v>VE/EBITDA</x:v>
      </x:c>
      <x:c r="D89" s="10" t="n">
        <x:v>39</x:v>
      </x:c>
      <x:c r="E89" s="31" t="n">
        <x:v>0.794871794871795</x:v>
      </x:c>
      <x:c r="F89" s="13" t="n">
        <x:v>26.5237576007673</x:v>
      </x:c>
      <x:c r="G89" s="13" t="n">
        <x:v>16.7877158273881</x:v>
      </x:c>
      <x:c r="H89" s="13" t="n">
        <x:v>26.4987535964157</x:v>
      </x:c>
      <x:c r="I89" s="13" t="n">
        <x:v>1.63631234327122</x:v>
      </x:c>
      <x:c r="J89" s="31" t="n">
        <x:v>0.198175260961961</x:v>
      </x:c>
      <x:c r="K89" s="13" t="n">
        <x:v>1.39228506436789</x:v>
      </x:c>
      <x:c r="L89" s="13" t="n">
        <x:v>2.61480056300068</x:v>
      </x:c>
      <x:c r="M89" s="31" t="n">
        <x:v>0.208237905007751</x:v>
      </x:c>
      <x:c r="N89" s="13" t="n">
        <x:v>6.53519947401623</x:v>
      </x:c>
      <x:c r="O89" s="32" t="n">
        <x:v>7.53556544098817</x:v>
      </x:c>
      <x:c r="P89" s="32" t="n">
        <x:v>12.2166203789294</x:v>
      </x:c>
    </x:row>
    <x:row r="90">
      <x:c r="A90" s="9" t="str">
        <x:v>Tobacco</x:v>
      </x:c>
      <x:c r="B90" s="9" t="str">
        <x:v>Otros</x:v>
      </x:c>
      <x:c r="C90" s="9" t="str">
        <x:v>VE/EBITDA</x:v>
      </x:c>
      <x:c r="D90" s="10" t="n">
        <x:v>10</x:v>
      </x:c>
      <x:c r="E90" s="31" t="n">
        <x:v>0.5</x:v>
      </x:c>
      <x:c r="F90" s="13" t="n">
        <x:v>22.9817971617427</x:v>
      </x:c>
      <x:c r="G90" s="13" t="n">
        <x:v>23.2084932707558</x:v>
      </x:c>
      <x:c r="H90" s="13" t="n">
        <x:v>17.6404655948125</x:v>
      </x:c>
      <x:c r="I90" s="13" t="str">
        <x:v>NA</x:v>
      </x:c>
      <x:c r="J90" s="31" t="str">
        <x:v>NA</x:v>
      </x:c>
      <x:c r="K90" s="13" t="n">
        <x:v>5.29820854377041</x:v>
      </x:c>
      <x:c r="L90" s="13" t="n">
        <x:v>6.39519294698878</x:v>
      </x:c>
      <x:c r="M90" s="31" t="n">
        <x:v>0.436838876460752</x:v>
      </x:c>
      <x:c r="N90" s="13" t="n">
        <x:v>13.4609035421483</x:v>
      </x:c>
      <x:c r="O90" s="32" t="n">
        <x:v>15.1472773731748</x:v>
      </x:c>
      <x:c r="P90" s="32" t="n">
        <x:v>14.6317805902516</x:v>
      </x:c>
    </x:row>
    <x:row r="91">
      <x:c r="A91" s="9" t="str">
        <x:v>Transportation</x:v>
      </x:c>
      <x:c r="B91" s="9" t="str">
        <x:v>Otros</x:v>
      </x:c>
      <x:c r="C91" s="9" t="str">
        <x:v>VE/EBITDA</x:v>
      </x:c>
      <x:c r="D91" s="10" t="n">
        <x:v>19</x:v>
      </x:c>
      <x:c r="E91" s="31" t="n">
        <x:v>0.526315789473684</x:v>
      </x:c>
      <x:c r="F91" s="13" t="n">
        <x:v>60.0299775093641</x:v>
      </x:c>
      <x:c r="G91" s="13" t="n">
        <x:v>28.8678283057048</x:v>
      </x:c>
      <x:c r="H91" s="13" t="n">
        <x:v>19.7625867745994</x:v>
      </x:c>
      <x:c r="I91" s="13" t="n">
        <x:v>4.78726037605811</x:v>
      </x:c>
      <x:c r="J91" s="31" t="n">
        <x:v>0.365820874857198</x:v>
      </x:c>
      <x:c r="K91" s="13" t="n">
        <x:v>1.26613009088828</x:v>
      </x:c>
      <x:c r="L91" s="13" t="n">
        <x:v>1.63969522823832</x:v>
      </x:c>
      <x:c r="M91" s="31" t="n">
        <x:v>0.0764242458721698</x:v>
      </x:c>
      <x:c r="N91" s="13" t="n">
        <x:v>12.5499630745827</x:v>
      </x:c>
      <x:c r="O91" s="32" t="n">
        <x:v>16.6854096957057</x:v>
      </x:c>
      <x:c r="P91" s="32" t="n">
        <x:v>21.4501337644581</x:v>
      </x:c>
    </x:row>
    <x:row r="92">
      <x:c r="A92" s="9" t="str">
        <x:v>Transportation (Railroads)</x:v>
      </x:c>
      <x:c r="B92" s="9" t="str">
        <x:v>Otros</x:v>
      </x:c>
      <x:c r="C92" s="9" t="str">
        <x:v>VE/EBITDA</x:v>
      </x:c>
      <x:c r="D92" s="10" t="n">
        <x:v>4</x:v>
      </x:c>
      <x:c r="E92" s="31" t="n">
        <x:v>0.25</x:v>
      </x:c>
      <x:c r="F92" s="13" t="n">
        <x:v>21.498858836985</x:v>
      </x:c>
      <x:c r="G92" s="13" t="n">
        <x:v>21.5293681224113</x:v>
      </x:c>
      <x:c r="H92" s="13" t="n">
        <x:v>20.4739589119494</x:v>
      </x:c>
      <x:c r="I92" s="13" t="n">
        <x:v>5.83445760536539</x:v>
      </x:c>
      <x:c r="J92" s="31" t="n">
        <x:v>0.290674775822747</x:v>
      </x:c>
      <x:c r="K92" s="13" t="n">
        <x:v>5.25974896179887</x:v>
      </x:c>
      <x:c r="L92" s="13" t="n">
        <x:v>6.66555970350433</x:v>
      </x:c>
      <x:c r="M92" s="31" t="n">
        <x:v>0.374335058449873</x:v>
      </x:c>
      <x:c r="N92" s="13" t="n">
        <x:v>13.4881786526189</x:v>
      </x:c>
      <x:c r="O92" s="32" t="n">
        <x:v>13.5505086959693</x:v>
      </x:c>
      <x:c r="P92" s="32" t="n">
        <x:v>17.806399782875</x:v>
      </x:c>
    </x:row>
    <x:row r="93">
      <x:c r="A93" s="9" t="str">
        <x:v>Trucking</x:v>
      </x:c>
      <x:c r="B93" s="9" t="str">
        <x:v>Otros</x:v>
      </x:c>
      <x:c r="C93" s="9" t="str">
        <x:v>VE/EBITDA</x:v>
      </x:c>
      <x:c r="D93" s="10" t="n">
        <x:v>26</x:v>
      </x:c>
      <x:c r="E93" s="31" t="n">
        <x:v>0.5</x:v>
      </x:c>
      <x:c r="F93" s="13" t="n">
        <x:v>33.8681600997721</x:v>
      </x:c>
      <x:c r="G93" s="13" t="n">
        <x:v>37.4226786655728</x:v>
      </x:c>
      <x:c r="H93" s="13" t="n">
        <x:v>46.1690098480945</x:v>
      </x:c>
      <x:c r="I93" s="13" t="n">
        <x:v>2.85786105095206</x:v>
      </x:c>
      <x:c r="J93" s="31" t="n">
        <x:v>0.0760272120502347</x:v>
      </x:c>
      <x:c r="K93" s="13" t="n">
        <x:v>1.42191592194973</x:v>
      </x:c>
      <x:c r="L93" s="13" t="n">
        <x:v>1.74291141214748</x:v>
      </x:c>
      <x:c r="M93" s="31" t="n">
        <x:v>0.0731395931811727</x:v>
      </x:c>
      <x:c r="N93" s="13" t="n">
        <x:v>10.4126008184497</x:v>
      </x:c>
      <x:c r="O93" s="32" t="n">
        <x:v>11.1879703310456</x:v>
      </x:c>
      <x:c r="P93" s="32" t="n">
        <x:v>23.8122309993639</x:v>
      </x:c>
    </x:row>
    <x:row r="94">
      <x:c r="A94" s="9" t="str">
        <x:v>Utility (General)</x:v>
      </x:c>
      <x:c r="B94" s="9" t="str">
        <x:v>Energía</x:v>
      </x:c>
      <x:c r="C94" s="9" t="str">
        <x:v>VE/EBITDA</x:v>
      </x:c>
      <x:c r="D94" s="10" t="n">
        <x:v>14</x:v>
      </x:c>
      <x:c r="E94" s="31" t="n">
        <x:v>0</x:v>
      </x:c>
      <x:c r="F94" s="13" t="n">
        <x:v>21.0262112160025</x:v>
      </x:c>
      <x:c r="G94" s="13" t="n">
        <x:v>19.9200980716965</x:v>
      </x:c>
      <x:c r="H94" s="13" t="n">
        <x:v>18.1294641494221</x:v>
      </x:c>
      <x:c r="I94" s="13" t="n">
        <x:v>1.81018713602911</x:v>
      </x:c>
      <x:c r="J94" s="31" t="n">
        <x:v>0.104155145863996</x:v>
      </x:c>
      <x:c r="K94" s="13" t="n">
        <x:v>2.90338816058874</x:v>
      </x:c>
      <x:c r="L94" s="13" t="n">
        <x:v>5.25160608401836</x:v>
      </x:c>
      <x:c r="M94" s="31" t="n">
        <x:v>0.232054838661667</x:v>
      </x:c>
      <x:c r="N94" s="13" t="n">
        <x:v>13.7270150387697</x:v>
      </x:c>
      <x:c r="O94" s="32" t="n">
        <x:v>15.0390843049606</x:v>
      </x:c>
      <x:c r="P94" s="32" t="n">
        <x:v>22.630883778619</x:v>
      </x:c>
    </x:row>
    <x:row r="95">
      <x:c r="A95" s="9" t="str">
        <x:v>Utility (Water)</x:v>
      </x:c>
      <x:c r="B95" s="9" t="str">
        <x:v>Energía</x:v>
      </x:c>
      <x:c r="C95" s="9" t="str">
        <x:v>VE/EBITDA</x:v>
      </x:c>
      <x:c r="D95" s="10" t="n">
        <x:v>14</x:v>
      </x:c>
      <x:c r="E95" s="31" t="n">
        <x:v>0.285714285714286</x:v>
      </x:c>
      <x:c r="F95" s="13" t="n">
        <x:v>21.9870327737433</x:v>
      </x:c>
      <x:c r="G95" s="13" t="n">
        <x:v>23.0657433090761</x:v>
      </x:c>
      <x:c r="H95" s="13" t="n">
        <x:v>21.2996585942901</x:v>
      </x:c>
      <x:c r="I95" s="13" t="n">
        <x:v>1.99521831801163</x:v>
      </x:c>
      <x:c r="J95" s="31" t="n">
        <x:v>0.102814407876917</x:v>
      </x:c>
      <x:c r="K95" s="13" t="n">
        <x:v>4.42803232559641</x:v>
      </x:c>
      <x:c r="L95" s="13" t="n">
        <x:v>7.15635477919348</x:v>
      </x:c>
      <x:c r="M95" s="31" t="n">
        <x:v>0.336476404692941</x:v>
      </x:c>
      <x:c r="N95" s="13" t="n">
        <x:v>14.1380037482983</x:v>
      </x:c>
      <x:c r="O95" s="32" t="n">
        <x:v>15.6504260829985</x:v>
      </x:c>
      <x:c r="P95" s="32" t="n">
        <x:v>21.0845029224397</x:v>
      </x:c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pageMargins left="0.7" right="0.7" top="0.75" bottom="0.75" header="0.3" footer="0.3"/>
  <x:tableParts count="1">
    <x:tablePart xmlns:r="http://schemas.openxmlformats.org/officeDocument/2006/relationships" r:id="Rcad1321b5e2944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 ht="32" customHeight="1">
      <x:c r="A1" s="4" t="str">
        <x:v>Metodología y uso financiero</x:v>
      </x:c>
      <x:c r="B1" s="4" t="str">
        <x:v>Metodología y uso financiero</x:v>
      </x:c>
      <x:c r="C1" s="4" t="str">
        <x:v>Metodología y uso financiero</x:v>
      </x:c>
      <x:c r="D1" s="4" t="str">
        <x:v>Metodología y uso financiero</x:v>
      </x:c>
      <x:c r="E1" s="4" t="str">
        <x:v>Metodología y uso financiero</x:v>
      </x:c>
      <x:c r="F1" s="4" t="str">
        <x:v>Metodología y uso financiero</x:v>
      </x:c>
      <x:c r="G1" s="4" t="str">
        <x:v>Metodología y uso financiero</x:v>
      </x:c>
      <x:c r="H1" s="4" t="str">
        <x:v>Metodología y uso financiero</x:v>
      </x:c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" t="str">
        <x:v>Concepto</x:v>
      </x:c>
      <x:c r="B4" s="8" t="str">
        <x:v>Criterio aplicado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9" t="str">
        <x:v>Universo</x:v>
      </x:c>
      <x:c r="B5" s="33" t="str">
        <x:v>Compañías estadounidenses incluidas en las bases regionales de Damodaran. Cobertura amplia comparable a un universo total de mercado.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9" t="str">
        <x:v>Fecha</x:v>
      </x:c>
      <x:c r="B6" s="33" t="str">
        <x:v>Actualización de 5 de enero de 2026. Refleja la información disponible al inicio de 2026 y, principalmente, datos empresariales de 2025.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9" t="str">
        <x:v>PER</x:v>
      </x:c>
      <x:c r="B7" s="33" t="str">
        <x:v>Precio dividido por beneficio. El PER trailing solo se interpreta cuando el beneficio es positivo.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9" t="str">
        <x:v>P/VC</x:v>
      </x:c>
      <x:c r="B8" s="33" t="str">
        <x:v>Capitalización dividida por fondos propios contables. Especialmente relevante en bancos y aseguradoras.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9" t="str">
        <x:v>VE/ventas</x:v>
      </x:c>
      <x:c r="B9" s="33" t="str">
        <x:v>Valor de empresa dividido por ingresos. Útil cuando EBITDA o beneficio son pequeños o negativos, siempre contrastando márgenes.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9" t="str">
        <x:v>VE/EBITDA positivo</x:v>
      </x:c>
      <x:c r="B10" s="33" t="str">
        <x:v>Valor de empresa agregado dividido por EBITDA agregado de las compañías con EBITDA positivo.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9" t="str">
        <x:v>VE/EBITDA todas</x:v>
      </x:c>
      <x:c r="B11" s="33" t="str">
        <x:v>Valor de empresa y EBITDA agregados de todas las empresas. Puede distorsionarse si existen pérdidas operativas.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9" t="str">
        <x:v>Estadístico</x:v>
      </x:c>
      <x:c r="B12" s="33" t="str">
        <x:v>Damodaran utiliza ratios agregados, equivalentes a ponderar implícitamente por magnitud. No son medianas simples de empresas.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9" t="str">
        <x:v>Aplicación Arroba</x:v>
      </x:c>
      <x:c r="B13" s="33" t="str">
        <x:v>Usar como referencia regional, después ajustar por tamaño, liquidez, crecimiento, margen, concentración y riesgo específico.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9" t="str">
        <x:v>Financieras</x:v>
      </x:c>
      <x:c r="B14" s="33" t="str">
        <x:v>No aplicar VE/EBITDA de forma mecánica. Priorizar P/VC, PER, ROE y calidad del capital.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9" t="str">
        <x:v>Inmobiliario</x:v>
      </x:c>
      <x:c r="B15" s="33" t="str">
        <x:v>Separar promotoras, patrimonialistas y REIT/SOCIMI. Contrastar P/VC, NAV y VE/EBITDA cuando corresponda.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18" hidden="0" customWidth="1"/>
    <x:col min="4" max="4" width="75" hidden="0" customWidth="1"/>
  </x:cols>
  <x:sheetData>
    <x:row r="1" ht="32" customHeight="1">
      <x:c r="A1" s="4" t="str">
        <x:v>Fuentes y trazabilidad</x:v>
      </x:c>
      <x:c r="B1" s="4" t="str">
        <x:v>Fuentes y trazabilidad</x:v>
      </x:c>
      <x:c r="C1" s="4" t="str">
        <x:v>Fuentes y trazabilidad</x:v>
      </x:c>
      <x:c r="D1" s="4" t="str">
        <x:v>Fuentes y trazabilidad</x:v>
      </x:c>
      <x:c r="E1" s="4" t="str">
        <x:v>Fuentes y trazabilidad</x:v>
      </x:c>
      <x:c r="F1" s="4" t="str">
        <x:v>Fuentes y trazabilidad</x:v>
      </x:c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" t="str">
        <x:v>Fuente</x:v>
      </x:c>
      <x:c r="B4" s="8" t="str">
        <x:v>Contenido</x:v>
      </x:c>
      <x:c r="C4" s="8" t="str">
        <x:v>Fecha</x:v>
      </x:c>
      <x:c r="D4" s="8" t="str">
        <x:v>Enlace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9" t="str">
        <x:v>NYU Stern — Damodaran</x:v>
      </x:c>
      <x:c r="B5" s="9" t="str">
        <x:v>PER por industria</x:v>
      </x:c>
      <x:c r="C5" s="9" t="str">
        <x:v>2026-01-05</x:v>
      </x:c>
      <x:c r="D5" s="34" t="str">
        <x:v>https://pages.stern.nyu.edu/~adamodar/pc/datasets/pedata.xls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9" t="str">
        <x:v>NYU Stern — Damodaran</x:v>
      </x:c>
      <x:c r="B6" s="9" t="str">
        <x:v>P/VC por industria</x:v>
      </x:c>
      <x:c r="C6" s="9" t="str">
        <x:v>2026-01-05</x:v>
      </x:c>
      <x:c r="D6" s="34" t="str">
        <x:v>https://pages.stern.nyu.edu/~adamodar/pc/datasets/pbvdata.xls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9" t="str">
        <x:v>NYU Stern — Damodaran</x:v>
      </x:c>
      <x:c r="B7" s="9" t="str">
        <x:v>P/ventas y VE/ventas</x:v>
      </x:c>
      <x:c r="C7" s="9" t="str">
        <x:v>2026-01-05</x:v>
      </x:c>
      <x:c r="D7" s="34" t="str">
        <x:v>https://pages.stern.nyu.edu/~adamodar/pc/datasets/psdata.xls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9" t="str">
        <x:v>NYU Stern — Damodaran</x:v>
      </x:c>
      <x:c r="B8" s="9" t="str">
        <x:v>VE/EBITDA y VE/EBIT</x:v>
      </x:c>
      <x:c r="C8" s="9" t="str">
        <x:v>2026-01-05</x:v>
      </x:c>
      <x:c r="D8" s="34" t="str">
        <x:v>https://pages.stern.nyu.edu/~adamodar/pc/datasets/vebitda.xls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9" t="str">
        <x:v>Metodología regional</x:v>
      </x:c>
      <x:c r="B9" s="9" t="str">
        <x:v>Página de datos regionales</x:v>
      </x:c>
      <x:c r="C9" s="9" t="str">
        <x:v>2026-01-05</x:v>
      </x:c>
      <x:c r="D9" s="34" t="str">
        <x:v>https://pages.stern.nyu.edu/adamodar/New_Home_Page/datacurrent.html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9" t="str">
        <x:v>MarketScreener</x:v>
      </x:c>
      <x:c r="B10" s="9" t="str">
        <x:v>Fuente de contraste para compañías y muestras específicas</x:v>
      </x:c>
      <x:c r="C10" s="9" t="str">
        <x:v>Consulta posterior</x:v>
      </x:c>
      <x:c r="D10" s="34" t="str">
        <x:v>https://www.marketscreener.com/stock-exchange/shares/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mergeCells>
    <x:mergeCell ref="A1:F1"/>
  </x:mergeCells>
  <x:pageMargins left="0.7" right="0.7" top="0.75" bottom="0.75" header="0.3" footer="0.3"/>
</x:worksheet>
</file>