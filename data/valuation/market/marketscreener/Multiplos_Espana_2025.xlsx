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b6c03d35e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anas" sheetId="1" r:id="R35c54bff97934e0d"/>
    <x:sheet xmlns:r="http://schemas.openxmlformats.org/officeDocument/2006/relationships" name="Empresas" sheetId="2" r:id="R30cb940fed6d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x&quot;;(0.00&quot;x&quot;);&quot;-&quot;"/>
    <x:numFmt numFmtId="201" formatCode="dd/mm/yyyy"/>
  </x:numFmts>
  <x:fonts count="7">
    <x:font>
      <x:sz val="11"/>
      <x:name val="Carlito"/>
    </x:font>
    <x:font>
      <x:sz val="10"/>
      <x:color rgb="FF222222"/>
      <x:name val="Arial"/>
    </x:font>
    <x:font>
      <x:b/>
      <x:sz val="15"/>
      <x:color rgb="FF203954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444444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954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04C1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6911e7ba64209" /><Relationship Type="http://schemas.openxmlformats.org/officeDocument/2006/relationships/theme" Target="/xl/theme/theme1.xml" Id="R1399b2cf72a44a95" /><Relationship Type="http://schemas.openxmlformats.org/officeDocument/2006/relationships/sharedStrings" Target="/xl/sharedStrings.xml" Id="R54116a3395be4622" /><Relationship Type="http://schemas.openxmlformats.org/officeDocument/2006/relationships/worksheet" Target="/xl/worksheets/sheet1.xml" Id="R35c54bff97934e0d" /><Relationship Type="http://schemas.openxmlformats.org/officeDocument/2006/relationships/worksheet" Target="/xl/worksheets/sheet2.xml" Id="R30cb940fed6d4518" /></Relationships>
</file>

<file path=xl/tables/table1.xml><?xml version="1.0" encoding="utf-8"?>
<x:table xmlns:x="http://schemas.openxmlformats.org/spreadsheetml/2006/main" id="1" name="EmpresasCotizadas" displayName="EmpresasCotizadas" ref="A6:L119" headerRowCount="1" totalsRowCount="0" totalsRowShown="0">
  <x:tableColumns count="12">
    <x:tableColumn id="1" name="Empresa"/>
    <x:tableColumn id="2" name="ISIN"/>
    <x:tableColumn id="3" name="Sector BME"/>
    <x:tableColumn id="4" name="Subsector BME"/>
    <x:tableColumn id="5" name="Cierre fiscal"/>
    <x:tableColumn id="6" name="Publicación 2025"/>
    <x:tableColumn id="7" name="PER 2025"/>
    <x:tableColumn id="8" name="VE/EBITDA 2025"/>
    <x:tableColumn id="9" name="VE/ventas 2025"/>
    <x:tableColumn id="10" name="P/VC 2025"/>
    <x:tableColumn id="11" name="Cobertura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3902b5880b4fbc" /></Relationships>
</file>

<file path=xl/worksheets/sheet1.xml><?xml version="1.0" encoding="utf-8"?>
<x:worksheet xmlns:x="http://schemas.openxmlformats.org/spreadsheetml/2006/main">
  <x:sheetPr>
    <x:tabColor rgb="FF20395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2" max="12" width="34" hidden="0" customWidth="1"/>
    <x:col min="13" max="13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Medianas de valoración por subsector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19" t="str">
        <x:v>Cobertura de la extracción</x:v>
      </x:c>
      <x:c r="M2" s="19"/>
      <x:c r="N2" s="2"/>
    </x:row>
    <x:row r="3">
      <x:c r="A3" s="13" t="str">
        <x:v>2025. Universo BME actual. Consulta: 20/09/2026.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 t="str">
        <x:v>Empresas</x:v>
      </x:c>
      <x:c r="M3" s="2" t="n">
        <x:v>113</x:v>
      </x:c>
      <x:c r="N3" s="2"/>
    </x:row>
    <x:row r="4">
      <x:c r="A4" s="13" t="str">
        <x:v>Solo múltiplos positivos, sin recorte de extremos.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v>Con columna 2025</x:v>
      </x:c>
      <x:c r="M4" s="2" t="n">
        <x:v>108</x:v>
      </x:c>
      <x:c r="N4" s="2"/>
    </x:row>
    <x:row r="5">
      <x:c r="A5" s="13" t="str">
        <x:v>N = datos incluidos. Cierres fiscales no uniformes.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 t="str">
        <x:v>Sin columna 2025 verificada</x:v>
      </x:c>
      <x:c r="M5" s="2" t="n">
        <x:v>5</x:v>
      </x:c>
      <x:c r="N5" s="2"/>
    </x:row>
    <x:row r="6">
      <x:c r="A6" s="13" t="str">
        <x:v>Bancos y seguros: múltiplos VE no aplicables.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7" t="str">
        <x:v>Subsector BME</x:v>
      </x:c>
      <x:c r="B7" s="7" t="str">
        <x:v>Empresas</x:v>
      </x:c>
      <x:c r="C7" s="7" t="str">
        <x:v>PER</x:v>
      </x:c>
      <x:c r="D7" s="7" t="str">
        <x:v>N PER</x:v>
      </x:c>
      <x:c r="E7" s="7" t="str">
        <x:v>VE/EBITDA</x:v>
      </x:c>
      <x:c r="F7" s="7" t="str">
        <x:v>N EBITDA</x:v>
      </x:c>
      <x:c r="G7" s="7" t="str">
        <x:v>VE/ventas</x:v>
      </x:c>
      <x:c r="H7" s="7" t="str">
        <x:v>N ventas</x:v>
      </x:c>
      <x:c r="I7" s="7" t="str">
        <x:v>P/VC</x:v>
      </x:c>
      <x:c r="J7" s="7" t="str">
        <x:v>N P/VC</x:v>
      </x:c>
      <x:c r="K7" s="2"/>
      <x:c r="L7" s="2" t="str">
        <x:v>Fuente del universo y clasificación: BME</x:v>
      </x:c>
      <x:c r="M7" s="2"/>
      <x:c r="N7" s="2"/>
    </x:row>
    <x:row r="8" ht="30" customHeight="1">
      <x:c r="A8" s="16" t="str">
        <x:v>Alimentación y Bebidas</x:v>
      </x:c>
      <x:c r="B8" s="17" t="n">
        <x:f>COUNTIFS(Empresas!$D$7:$D$119,A8)</x:f>
        <x:v>6</x:v>
      </x:c>
      <x:c r="C8" s="18" t="n">
        <x:f>IF(D8=0,"n.d.",MEDIAN(IF(SUMIFS(Empresas!$G$7:$G$119,Empresas!$B$7:$B$119,"ES0115002018")&gt;0,SUMIFS(Empresas!$G$7:$G$119,Empresas!$B$7:$B$119,"ES0115002018"),""),IF(SUMIFS(Empresas!$G$7:$G$119,Empresas!$B$7:$B$119,"ES0110047919")&gt;0,SUMIFS(Empresas!$G$7:$G$119,Empresas!$B$7:$B$119,"ES0110047919"),""),IF(SUMIFS(Empresas!$G$7:$G$119,Empresas!$B$7:$B$119,"ES0112501012")&gt;0,SUMIFS(Empresas!$G$7:$G$119,Empresas!$B$7:$B$119,"ES0112501012"),""),IF(SUMIFS(Empresas!$G$7:$G$119,Empresas!$B$7:$B$119,"ES0105043006")&gt;0,SUMIFS(Empresas!$G$7:$G$119,Empresas!$B$7:$B$119,"ES0105043006"),""),IF(SUMIFS(Empresas!$G$7:$G$119,Empresas!$B$7:$B$119,"ES0169350016")&gt;0,SUMIFS(Empresas!$G$7:$G$119,Empresas!$B$7:$B$119,"ES0169350016"),""),IF(SUMIFS(Empresas!$G$7:$G$119,Empresas!$B$7:$B$119,"ES0184262212")&gt;0,SUMIFS(Empresas!$G$7:$G$119,Empresas!$B$7:$B$119,"ES0184262212"),"")))</x:f>
        <x:v>13.149999999999999</x:v>
      </x:c>
      <x:c r="D8" s="17" t="n">
        <x:f>COUNTIFS(Empresas!$D$7:$D$119,A8,Empresas!$G$7:$G$119,"&gt;0")</x:f>
        <x:v>4</x:v>
      </x:c>
      <x:c r="E8" s="18" t="n">
        <x:f>IF(F8=0,"n.d.",MEDIAN(IF(SUMIFS(Empresas!$H$7:$H$119,Empresas!$B$7:$B$119,"ES0115002018")&gt;0,SUMIFS(Empresas!$H$7:$H$119,Empresas!$B$7:$B$119,"ES0115002018"),""),IF(SUMIFS(Empresas!$H$7:$H$119,Empresas!$B$7:$B$119,"ES0110047919")&gt;0,SUMIFS(Empresas!$H$7:$H$119,Empresas!$B$7:$B$119,"ES0110047919"),""),IF(SUMIFS(Empresas!$H$7:$H$119,Empresas!$B$7:$B$119,"ES0112501012")&gt;0,SUMIFS(Empresas!$H$7:$H$119,Empresas!$B$7:$B$119,"ES0112501012"),""),IF(SUMIFS(Empresas!$H$7:$H$119,Empresas!$B$7:$B$119,"ES0105043006")&gt;0,SUMIFS(Empresas!$H$7:$H$119,Empresas!$B$7:$B$119,"ES0105043006"),""),IF(SUMIFS(Empresas!$H$7:$H$119,Empresas!$B$7:$B$119,"ES0169350016")&gt;0,SUMIFS(Empresas!$H$7:$H$119,Empresas!$B$7:$B$119,"ES0169350016"),""),IF(SUMIFS(Empresas!$H$7:$H$119,Empresas!$B$7:$B$119,"ES0184262212")&gt;0,SUMIFS(Empresas!$H$7:$H$119,Empresas!$B$7:$B$119,"ES0184262212"),"")))</x:f>
        <x:v>8.48</x:v>
      </x:c>
      <x:c r="F8" s="17" t="n">
        <x:f>COUNTIFS(Empresas!$D$7:$D$119,A8,Empresas!$H$7:$H$119,"&gt;0")</x:f>
        <x:v>4</x:v>
      </x:c>
      <x:c r="G8" s="18" t="n">
        <x:f>IF(H8=0,"n.d.",MEDIAN(IF(SUMIFS(Empresas!$I$7:$I$119,Empresas!$B$7:$B$119,"ES0115002018")&gt;0,SUMIFS(Empresas!$I$7:$I$119,Empresas!$B$7:$B$119,"ES0115002018"),""),IF(SUMIFS(Empresas!$I$7:$I$119,Empresas!$B$7:$B$119,"ES0110047919")&gt;0,SUMIFS(Empresas!$I$7:$I$119,Empresas!$B$7:$B$119,"ES0110047919"),""),IF(SUMIFS(Empresas!$I$7:$I$119,Empresas!$B$7:$B$119,"ES0112501012")&gt;0,SUMIFS(Empresas!$I$7:$I$119,Empresas!$B$7:$B$119,"ES0112501012"),""),IF(SUMIFS(Empresas!$I$7:$I$119,Empresas!$B$7:$B$119,"ES0105043006")&gt;0,SUMIFS(Empresas!$I$7:$I$119,Empresas!$B$7:$B$119,"ES0105043006"),""),IF(SUMIFS(Empresas!$I$7:$I$119,Empresas!$B$7:$B$119,"ES0169350016")&gt;0,SUMIFS(Empresas!$I$7:$I$119,Empresas!$B$7:$B$119,"ES0169350016"),""),IF(SUMIFS(Empresas!$I$7:$I$119,Empresas!$B$7:$B$119,"ES0184262212")&gt;0,SUMIFS(Empresas!$I$7:$I$119,Empresas!$B$7:$B$119,"ES0184262212"),"")))</x:f>
        <x:v>2.16</x:v>
      </x:c>
      <x:c r="H8" s="17" t="n">
        <x:f>COUNTIFS(Empresas!$D$7:$D$119,A8,Empresas!$I$7:$I$119,"&gt;0")</x:f>
        <x:v>5</x:v>
      </x:c>
      <x:c r="I8" s="18" t="n">
        <x:f>IF(J8=0,"n.d.",MEDIAN(IF(SUMIFS(Empresas!$J$7:$J$119,Empresas!$B$7:$B$119,"ES0115002018")&gt;0,SUMIFS(Empresas!$J$7:$J$119,Empresas!$B$7:$B$119,"ES0115002018"),""),IF(SUMIFS(Empresas!$J$7:$J$119,Empresas!$B$7:$B$119,"ES0110047919")&gt;0,SUMIFS(Empresas!$J$7:$J$119,Empresas!$B$7:$B$119,"ES0110047919"),""),IF(SUMIFS(Empresas!$J$7:$J$119,Empresas!$B$7:$B$119,"ES0112501012")&gt;0,SUMIFS(Empresas!$J$7:$J$119,Empresas!$B$7:$B$119,"ES0112501012"),""),IF(SUMIFS(Empresas!$J$7:$J$119,Empresas!$B$7:$B$119,"ES0105043006")&gt;0,SUMIFS(Empresas!$J$7:$J$119,Empresas!$B$7:$B$119,"ES0105043006"),""),IF(SUMIFS(Empresas!$J$7:$J$119,Empresas!$B$7:$B$119,"ES0169350016")&gt;0,SUMIFS(Empresas!$J$7:$J$119,Empresas!$B$7:$B$119,"ES0169350016"),""),IF(SUMIFS(Empresas!$J$7:$J$119,Empresas!$B$7:$B$119,"ES0184262212")&gt;0,SUMIFS(Empresas!$J$7:$J$119,Empresas!$B$7:$B$119,"ES0184262212"),"")))</x:f>
        <x:v>2.69</x:v>
      </x:c>
      <x:c r="J8" s="17" t="n">
        <x:f>COUNTIFS(Empresas!$D$7:$D$119,A8,Empresas!$J$7:$J$119,"&gt;0")</x:f>
        <x:v>3</x:v>
      </x:c>
      <x:c r="K8" s="2"/>
      <x:c r="L8" s="2" t="str">
        <x:v>Fuentes y enlaces en Empresas.</x:v>
      </x:c>
      <x:c r="M8" s="2"/>
      <x:c r="N8" s="2"/>
    </x:row>
    <x:row r="9" ht="30" customHeight="1">
      <x:c r="A9" s="8" t="str">
        <x:v>Otros Bienes de Consumo</x:v>
      </x:c>
      <x:c r="B9" s="14" t="n">
        <x:f>COUNTIFS(Empresas!$D$7:$D$119,A9)</x:f>
        <x:v>1</x:v>
      </x:c>
      <x:c r="C9" s="15" t="n">
        <x:f>IF(D9=0,"n.d.",MEDIAN(IF(SUMIFS(Empresas!$G$7:$G$119,Empresas!$B$7:$B$119,"ES0183746314")&gt;0,SUMIFS(Empresas!$G$7:$G$119,Empresas!$B$7:$B$119,"ES0183746314"),"")))</x:f>
        <x:v>15.1</x:v>
      </x:c>
      <x:c r="D9" s="14" t="n">
        <x:f>COUNTIFS(Empresas!$D$7:$D$119,A9,Empresas!$G$7:$G$119,"&gt;0")</x:f>
        <x:v>1</x:v>
      </x:c>
      <x:c r="E9" s="15" t="n">
        <x:f>IF(F9=0,"n.d.",MEDIAN(IF(SUMIFS(Empresas!$H$7:$H$119,Empresas!$B$7:$B$119,"ES0183746314")&gt;0,SUMIFS(Empresas!$H$7:$H$119,Empresas!$B$7:$B$119,"ES0183746314"),"")))</x:f>
        <x:v>7.43</x:v>
      </x:c>
      <x:c r="F9" s="14" t="n">
        <x:f>COUNTIFS(Empresas!$D$7:$D$119,A9,Empresas!$H$7:$H$119,"&gt;0")</x:f>
        <x:v>1</x:v>
      </x:c>
      <x:c r="G9" s="15" t="n">
        <x:f>IF(H9=0,"n.d.",MEDIAN(IF(SUMIFS(Empresas!$I$7:$I$119,Empresas!$B$7:$B$119,"ES0183746314")&gt;0,SUMIFS(Empresas!$I$7:$I$119,Empresas!$B$7:$B$119,"ES0183746314"),"")))</x:f>
        <x:v>2.23</x:v>
      </x:c>
      <x:c r="H9" s="14" t="n">
        <x:f>COUNTIFS(Empresas!$D$7:$D$119,A9,Empresas!$I$7:$I$119,"&gt;0")</x:f>
        <x:v>1</x:v>
      </x:c>
      <x:c r="I9" s="15" t="n">
        <x:f>IF(J9=0,"n.d.",MEDIAN(IF(SUMIFS(Empresas!$J$7:$J$119,Empresas!$B$7:$B$119,"ES0183746314")&gt;0,SUMIFS(Empresas!$J$7:$J$119,Empresas!$B$7:$B$119,"ES0183746314"),"")))</x:f>
        <x:v>2.24</x:v>
      </x:c>
      <x:c r="J9" s="14" t="n">
        <x:f>COUNTIFS(Empresas!$D$7:$D$119,A9,Empresas!$J$7:$J$119,"&gt;0")</x:f>
        <x:v>1</x:v>
      </x:c>
      <x:c r="K9" s="2"/>
      <x:c r="L9" s="2"/>
      <x:c r="M9" s="2"/>
      <x:c r="N9" s="2"/>
    </x:row>
    <x:row r="10" ht="30" customHeight="1">
      <x:c r="A10" s="16" t="str">
        <x:v>Papel y Artes Gráficas</x:v>
      </x:c>
      <x:c r="B10" s="17" t="n">
        <x:f>COUNTIFS(Empresas!$D$7:$D$119,A10)</x:f>
        <x:v>3</x:v>
      </x:c>
      <x:c r="C10" s="18" t="n">
        <x:f>IF(D10=0,"n.d.",MEDIAN(IF(SUMIFS(Empresas!$G$7:$G$119,Empresas!$B$7:$B$119,"ES0130625512")&gt;0,SUMIFS(Empresas!$G$7:$G$119,Empresas!$B$7:$B$119,"ES0130625512"),""),IF(SUMIFS(Empresas!$G$7:$G$119,Empresas!$B$7:$B$119,"ES0147561015")&gt;0,SUMIFS(Empresas!$G$7:$G$119,Empresas!$B$7:$B$119,"ES0147561015"),""),IF(SUMIFS(Empresas!$G$7:$G$119,Empresas!$B$7:$B$119,"ES0164180012")&gt;0,SUMIFS(Empresas!$G$7:$G$119,Empresas!$B$7:$B$119,"ES0164180012"),"")))</x:f>
        <x:v>23.900000000000002</x:v>
      </x:c>
      <x:c r="D10" s="17" t="n">
        <x:f>COUNTIFS(Empresas!$D$7:$D$119,A10,Empresas!$G$7:$G$119,"&gt;0")</x:f>
        <x:v>2</x:v>
      </x:c>
      <x:c r="E10" s="18" t="n">
        <x:f>IF(F10=0,"n.d.",MEDIAN(IF(SUMIFS(Empresas!$H$7:$H$119,Empresas!$B$7:$B$119,"ES0130625512")&gt;0,SUMIFS(Empresas!$H$7:$H$119,Empresas!$B$7:$B$119,"ES0130625512"),""),IF(SUMIFS(Empresas!$H$7:$H$119,Empresas!$B$7:$B$119,"ES0147561015")&gt;0,SUMIFS(Empresas!$H$7:$H$119,Empresas!$B$7:$B$119,"ES0147561015"),""),IF(SUMIFS(Empresas!$H$7:$H$119,Empresas!$B$7:$B$119,"ES0164180012")&gt;0,SUMIFS(Empresas!$H$7:$H$119,Empresas!$B$7:$B$119,"ES0164180012"),"")))</x:f>
        <x:v>7.44</x:v>
      </x:c>
      <x:c r="F10" s="17" t="n">
        <x:f>COUNTIFS(Empresas!$D$7:$D$119,A10,Empresas!$H$7:$H$119,"&gt;0")</x:f>
        <x:v>3</x:v>
      </x:c>
      <x:c r="G10" s="18" t="n">
        <x:f>IF(H10=0,"n.d.",MEDIAN(IF(SUMIFS(Empresas!$I$7:$I$119,Empresas!$B$7:$B$119,"ES0130625512")&gt;0,SUMIFS(Empresas!$I$7:$I$119,Empresas!$B$7:$B$119,"ES0130625512"),""),IF(SUMIFS(Empresas!$I$7:$I$119,Empresas!$B$7:$B$119,"ES0147561015")&gt;0,SUMIFS(Empresas!$I$7:$I$119,Empresas!$B$7:$B$119,"ES0147561015"),""),IF(SUMIFS(Empresas!$I$7:$I$119,Empresas!$B$7:$B$119,"ES0164180012")&gt;0,SUMIFS(Empresas!$I$7:$I$119,Empresas!$B$7:$B$119,"ES0164180012"),"")))</x:f>
        <x:v>1.27</x:v>
      </x:c>
      <x:c r="H10" s="17" t="n">
        <x:f>COUNTIFS(Empresas!$D$7:$D$119,A10,Empresas!$I$7:$I$119,"&gt;0")</x:f>
        <x:v>3</x:v>
      </x:c>
      <x:c r="I10" s="18" t="n">
        <x:f>IF(J10=0,"n.d.",MEDIAN(IF(SUMIFS(Empresas!$J$7:$J$119,Empresas!$B$7:$B$119,"ES0130625512")&gt;0,SUMIFS(Empresas!$J$7:$J$119,Empresas!$B$7:$B$119,"ES0130625512"),""),IF(SUMIFS(Empresas!$J$7:$J$119,Empresas!$B$7:$B$119,"ES0147561015")&gt;0,SUMIFS(Empresas!$J$7:$J$119,Empresas!$B$7:$B$119,"ES0147561015"),""),IF(SUMIFS(Empresas!$J$7:$J$119,Empresas!$B$7:$B$119,"ES0164180012")&gt;0,SUMIFS(Empresas!$J$7:$J$119,Empresas!$B$7:$B$119,"ES0164180012"),"")))</x:f>
        <x:v>1.22</x:v>
      </x:c>
      <x:c r="J10" s="17" t="n">
        <x:f>COUNTIFS(Empresas!$D$7:$D$119,A10,Empresas!$J$7:$J$119,"&gt;0")</x:f>
        <x:v>3</x:v>
      </x:c>
      <x:c r="K10" s="2"/>
      <x:c r="L10" s="2" t="str">
        <x:v>Las fuentes de múltiplos figuran en Empresas.</x:v>
      </x:c>
      <x:c r="M10" s="2"/>
      <x:c r="N10" s="2"/>
    </x:row>
    <x:row r="11" ht="30" customHeight="1">
      <x:c r="A11" s="8" t="str">
        <x:v>Productos farmaceúticos y Biotecnología</x:v>
      </x:c>
      <x:c r="B11" s="14" t="n">
        <x:f>COUNTIFS(Empresas!$D$7:$D$119,A11)</x:f>
        <x:v>9</x:v>
      </x:c>
      <x:c r="C11" s="15" t="n">
        <x:f>IF(D11=0,"n.d.",MEDIAN(IF(SUMIFS(Empresas!$G$7:$G$119,Empresas!$B$7:$B$119,"ES0157097017")&gt;0,SUMIFS(Empresas!$G$7:$G$119,Empresas!$B$7:$B$119,"ES0157097017"),""),IF(SUMIFS(Empresas!$G$7:$G$119,Empresas!$B$7:$B$119,"ES0105148003")&gt;0,SUMIFS(Empresas!$G$7:$G$119,Empresas!$B$7:$B$119,"ES0105148003"),""),IF(SUMIFS(Empresas!$G$7:$G$119,Empresas!$B$7:$B$119,"ES0134950F36")&gt;0,SUMIFS(Empresas!$G$7:$G$119,Empresas!$B$7:$B$119,"ES0134950F36"),""),IF(SUMIFS(Empresas!$G$7:$G$119,Empresas!$B$7:$B$119,"ES0171996087")&gt;0,SUMIFS(Empresas!$G$7:$G$119,Empresas!$B$7:$B$119,"ES0171996087"),""),IF(SUMIFS(Empresas!$G$7:$G$119,Empresas!$B$7:$B$119,"ES0165359029")&gt;0,SUMIFS(Empresas!$G$7:$G$119,Empresas!$B$7:$B$119,"ES0165359029"),""),IF(SUMIFS(Empresas!$G$7:$G$119,Empresas!$B$7:$B$119,"ES0157261019")&gt;0,SUMIFS(Empresas!$G$7:$G$119,Empresas!$B$7:$B$119,"ES0157261019"),""),IF(SUMIFS(Empresas!$G$7:$G$119,Empresas!$B$7:$B$119,"ES0167733015")&gt;0,SUMIFS(Empresas!$G$7:$G$119,Empresas!$B$7:$B$119,"ES0167733015"),""),IF(SUMIFS(Empresas!$G$7:$G$119,Empresas!$B$7:$B$119,"ES0169501022")&gt;0,SUMIFS(Empresas!$G$7:$G$119,Empresas!$B$7:$B$119,"ES0169501022"),""),IF(SUMIFS(Empresas!$G$7:$G$119,Empresas!$B$7:$B$119,"ES0170884417")&gt;0,SUMIFS(Empresas!$G$7:$G$119,Empresas!$B$7:$B$119,"ES0170884417"),"")))</x:f>
        <x:v>20.6</x:v>
      </x:c>
      <x:c r="D11" s="14" t="n">
        <x:f>COUNTIFS(Empresas!$D$7:$D$119,A11,Empresas!$G$7:$G$119,"&gt;0")</x:f>
        <x:v>7</x:v>
      </x:c>
      <x:c r="E11" s="15" t="n">
        <x:f>IF(F11=0,"n.d.",MEDIAN(IF(SUMIFS(Empresas!$H$7:$H$119,Empresas!$B$7:$B$119,"ES0157097017")&gt;0,SUMIFS(Empresas!$H$7:$H$119,Empresas!$B$7:$B$119,"ES0157097017"),""),IF(SUMIFS(Empresas!$H$7:$H$119,Empresas!$B$7:$B$119,"ES0105148003")&gt;0,SUMIFS(Empresas!$H$7:$H$119,Empresas!$B$7:$B$119,"ES0105148003"),""),IF(SUMIFS(Empresas!$H$7:$H$119,Empresas!$B$7:$B$119,"ES0134950F36")&gt;0,SUMIFS(Empresas!$H$7:$H$119,Empresas!$B$7:$B$119,"ES0134950F36"),""),IF(SUMIFS(Empresas!$H$7:$H$119,Empresas!$B$7:$B$119,"ES0171996087")&gt;0,SUMIFS(Empresas!$H$7:$H$119,Empresas!$B$7:$B$119,"ES0171996087"),""),IF(SUMIFS(Empresas!$H$7:$H$119,Empresas!$B$7:$B$119,"ES0165359029")&gt;0,SUMIFS(Empresas!$H$7:$H$119,Empresas!$B$7:$B$119,"ES0165359029"),""),IF(SUMIFS(Empresas!$H$7:$H$119,Empresas!$B$7:$B$119,"ES0157261019")&gt;0,SUMIFS(Empresas!$H$7:$H$119,Empresas!$B$7:$B$119,"ES0157261019"),""),IF(SUMIFS(Empresas!$H$7:$H$119,Empresas!$B$7:$B$119,"ES0167733015")&gt;0,SUMIFS(Empresas!$H$7:$H$119,Empresas!$B$7:$B$119,"ES0167733015"),""),IF(SUMIFS(Empresas!$H$7:$H$119,Empresas!$B$7:$B$119,"ES0169501022")&gt;0,SUMIFS(Empresas!$H$7:$H$119,Empresas!$B$7:$B$119,"ES0169501022"),""),IF(SUMIFS(Empresas!$H$7:$H$119,Empresas!$B$7:$B$119,"ES0170884417")&gt;0,SUMIFS(Empresas!$H$7:$H$119,Empresas!$B$7:$B$119,"ES0170884417"),"")))</x:f>
        <x:v>13.35</x:v>
      </x:c>
      <x:c r="F11" s="14" t="n">
        <x:f>COUNTIFS(Empresas!$D$7:$D$119,A11,Empresas!$H$7:$H$119,"&gt;0")</x:f>
        <x:v>8</x:v>
      </x:c>
      <x:c r="G11" s="15" t="n">
        <x:f>IF(H11=0,"n.d.",MEDIAN(IF(SUMIFS(Empresas!$I$7:$I$119,Empresas!$B$7:$B$119,"ES0157097017")&gt;0,SUMIFS(Empresas!$I$7:$I$119,Empresas!$B$7:$B$119,"ES0157097017"),""),IF(SUMIFS(Empresas!$I$7:$I$119,Empresas!$B$7:$B$119,"ES0105148003")&gt;0,SUMIFS(Empresas!$I$7:$I$119,Empresas!$B$7:$B$119,"ES0105148003"),""),IF(SUMIFS(Empresas!$I$7:$I$119,Empresas!$B$7:$B$119,"ES0134950F36")&gt;0,SUMIFS(Empresas!$I$7:$I$119,Empresas!$B$7:$B$119,"ES0134950F36"),""),IF(SUMIFS(Empresas!$I$7:$I$119,Empresas!$B$7:$B$119,"ES0171996087")&gt;0,SUMIFS(Empresas!$I$7:$I$119,Empresas!$B$7:$B$119,"ES0171996087"),""),IF(SUMIFS(Empresas!$I$7:$I$119,Empresas!$B$7:$B$119,"ES0165359029")&gt;0,SUMIFS(Empresas!$I$7:$I$119,Empresas!$B$7:$B$119,"ES0165359029"),""),IF(SUMIFS(Empresas!$I$7:$I$119,Empresas!$B$7:$B$119,"ES0157261019")&gt;0,SUMIFS(Empresas!$I$7:$I$119,Empresas!$B$7:$B$119,"ES0157261019"),""),IF(SUMIFS(Empresas!$I$7:$I$119,Empresas!$B$7:$B$119,"ES0167733015")&gt;0,SUMIFS(Empresas!$I$7:$I$119,Empresas!$B$7:$B$119,"ES0167733015"),""),IF(SUMIFS(Empresas!$I$7:$I$119,Empresas!$B$7:$B$119,"ES0169501022")&gt;0,SUMIFS(Empresas!$I$7:$I$119,Empresas!$B$7:$B$119,"ES0169501022"),""),IF(SUMIFS(Empresas!$I$7:$I$119,Empresas!$B$7:$B$119,"ES0170884417")&gt;0,SUMIFS(Empresas!$I$7:$I$119,Empresas!$B$7:$B$119,"ES0170884417"),"")))</x:f>
        <x:v>2.285</x:v>
      </x:c>
      <x:c r="H11" s="14" t="n">
        <x:f>COUNTIFS(Empresas!$D$7:$D$119,A11,Empresas!$I$7:$I$119,"&gt;0")</x:f>
        <x:v>8</x:v>
      </x:c>
      <x:c r="I11" s="15" t="n">
        <x:f>IF(J11=0,"n.d.",MEDIAN(IF(SUMIFS(Empresas!$J$7:$J$119,Empresas!$B$7:$B$119,"ES0157097017")&gt;0,SUMIFS(Empresas!$J$7:$J$119,Empresas!$B$7:$B$119,"ES0157097017"),""),IF(SUMIFS(Empresas!$J$7:$J$119,Empresas!$B$7:$B$119,"ES0105148003")&gt;0,SUMIFS(Empresas!$J$7:$J$119,Empresas!$B$7:$B$119,"ES0105148003"),""),IF(SUMIFS(Empresas!$J$7:$J$119,Empresas!$B$7:$B$119,"ES0134950F36")&gt;0,SUMIFS(Empresas!$J$7:$J$119,Empresas!$B$7:$B$119,"ES0134950F36"),""),IF(SUMIFS(Empresas!$J$7:$J$119,Empresas!$B$7:$B$119,"ES0171996087")&gt;0,SUMIFS(Empresas!$J$7:$J$119,Empresas!$B$7:$B$119,"ES0171996087"),""),IF(SUMIFS(Empresas!$J$7:$J$119,Empresas!$B$7:$B$119,"ES0165359029")&gt;0,SUMIFS(Empresas!$J$7:$J$119,Empresas!$B$7:$B$119,"ES0165359029"),""),IF(SUMIFS(Empresas!$J$7:$J$119,Empresas!$B$7:$B$119,"ES0157261019")&gt;0,SUMIFS(Empresas!$J$7:$J$119,Empresas!$B$7:$B$119,"ES0157261019"),""),IF(SUMIFS(Empresas!$J$7:$J$119,Empresas!$B$7:$B$119,"ES0167733015")&gt;0,SUMIFS(Empresas!$J$7:$J$119,Empresas!$B$7:$B$119,"ES0167733015"),""),IF(SUMIFS(Empresas!$J$7:$J$119,Empresas!$B$7:$B$119,"ES0169501022")&gt;0,SUMIFS(Empresas!$J$7:$J$119,Empresas!$B$7:$B$119,"ES0169501022"),""),IF(SUMIFS(Empresas!$J$7:$J$119,Empresas!$B$7:$B$119,"ES0170884417")&gt;0,SUMIFS(Empresas!$J$7:$J$119,Empresas!$B$7:$B$119,"ES0170884417"),"")))</x:f>
        <x:v>1.85</x:v>
      </x:c>
      <x:c r="J11" s="14" t="n">
        <x:f>COUNTIFS(Empresas!$D$7:$D$119,A11,Empresas!$J$7:$J$119,"&gt;0")</x:f>
        <x:v>7</x:v>
      </x:c>
      <x:c r="K11" s="2"/>
      <x:c r="L11" s="2"/>
      <x:c r="M11" s="2"/>
      <x:c r="N11" s="2"/>
    </x:row>
    <x:row r="12" ht="30" customHeight="1">
      <x:c r="A12" s="16" t="str">
        <x:v>Textil, Calzado, Cosmética y Fragancias</x:v>
      </x:c>
      <x:c r="B12" s="17" t="n">
        <x:f>COUNTIFS(Empresas!$D$7:$D$119,A12)</x:f>
        <x:v>4</x:v>
      </x:c>
      <x:c r="C12" s="18" t="n">
        <x:f>IF(D12=0,"n.d.",MEDIAN(IF(SUMIFS(Empresas!$G$7:$G$119,Empresas!$B$7:$B$119,"ES0106000013")&gt;0,SUMIFS(Empresas!$G$7:$G$119,Empresas!$B$7:$B$119,"ES0106000013"),""),IF(SUMIFS(Empresas!$G$7:$G$119,Empresas!$B$7:$B$119,"ES0148396007")&gt;0,SUMIFS(Empresas!$G$7:$G$119,Empresas!$B$7:$B$119,"ES0148396007"),""),IF(SUMIFS(Empresas!$G$7:$G$119,Empresas!$B$7:$B$119,"ES0126962069")&gt;0,SUMIFS(Empresas!$G$7:$G$119,Empresas!$B$7:$B$119,"ES0126962069"),""),IF(SUMIFS(Empresas!$G$7:$G$119,Empresas!$B$7:$B$119,"ES0105777017")&gt;0,SUMIFS(Empresas!$G$7:$G$119,Empresas!$B$7:$B$119,"ES0105777017"),"")))</x:f>
        <x:v>38.95</x:v>
      </x:c>
      <x:c r="D12" s="17" t="n">
        <x:f>COUNTIFS(Empresas!$D$7:$D$119,A12,Empresas!$G$7:$G$119,"&gt;0")</x:f>
        <x:v>4</x:v>
      </x:c>
      <x:c r="E12" s="18" t="n">
        <x:f>IF(F12=0,"n.d.",MEDIAN(IF(SUMIFS(Empresas!$H$7:$H$119,Empresas!$B$7:$B$119,"ES0106000013")&gt;0,SUMIFS(Empresas!$H$7:$H$119,Empresas!$B$7:$B$119,"ES0106000013"),""),IF(SUMIFS(Empresas!$H$7:$H$119,Empresas!$B$7:$B$119,"ES0148396007")&gt;0,SUMIFS(Empresas!$H$7:$H$119,Empresas!$B$7:$B$119,"ES0148396007"),""),IF(SUMIFS(Empresas!$H$7:$H$119,Empresas!$B$7:$B$119,"ES0126962069")&gt;0,SUMIFS(Empresas!$H$7:$H$119,Empresas!$B$7:$B$119,"ES0126962069"),""),IF(SUMIFS(Empresas!$H$7:$H$119,Empresas!$B$7:$B$119,"ES0105777017")&gt;0,SUMIFS(Empresas!$H$7:$H$119,Empresas!$B$7:$B$119,"ES0105777017"),"")))</x:f>
        <x:v>8.32</x:v>
      </x:c>
      <x:c r="F12" s="17" t="n">
        <x:f>COUNTIFS(Empresas!$D$7:$D$119,A12,Empresas!$H$7:$H$119,"&gt;0")</x:f>
        <x:v>3</x:v>
      </x:c>
      <x:c r="G12" s="18" t="n">
        <x:f>IF(H12=0,"n.d.",MEDIAN(IF(SUMIFS(Empresas!$I$7:$I$119,Empresas!$B$7:$B$119,"ES0106000013")&gt;0,SUMIFS(Empresas!$I$7:$I$119,Empresas!$B$7:$B$119,"ES0106000013"),""),IF(SUMIFS(Empresas!$I$7:$I$119,Empresas!$B$7:$B$119,"ES0148396007")&gt;0,SUMIFS(Empresas!$I$7:$I$119,Empresas!$B$7:$B$119,"ES0148396007"),""),IF(SUMIFS(Empresas!$I$7:$I$119,Empresas!$B$7:$B$119,"ES0126962069")&gt;0,SUMIFS(Empresas!$I$7:$I$119,Empresas!$B$7:$B$119,"ES0126962069"),""),IF(SUMIFS(Empresas!$I$7:$I$119,Empresas!$B$7:$B$119,"ES0105777017")&gt;0,SUMIFS(Empresas!$I$7:$I$119,Empresas!$B$7:$B$119,"ES0105777017"),"")))</x:f>
        <x:v>1.72</x:v>
      </x:c>
      <x:c r="H12" s="17" t="n">
        <x:f>COUNTIFS(Empresas!$D$7:$D$119,A12,Empresas!$I$7:$I$119,"&gt;0")</x:f>
        <x:v>3</x:v>
      </x:c>
      <x:c r="I12" s="18" t="n">
        <x:f>IF(J12=0,"n.d.",MEDIAN(IF(SUMIFS(Empresas!$J$7:$J$119,Empresas!$B$7:$B$119,"ES0106000013")&gt;0,SUMIFS(Empresas!$J$7:$J$119,Empresas!$B$7:$B$119,"ES0106000013"),""),IF(SUMIFS(Empresas!$J$7:$J$119,Empresas!$B$7:$B$119,"ES0148396007")&gt;0,SUMIFS(Empresas!$J$7:$J$119,Empresas!$B$7:$B$119,"ES0148396007"),""),IF(SUMIFS(Empresas!$J$7:$J$119,Empresas!$B$7:$B$119,"ES0126962069")&gt;0,SUMIFS(Empresas!$J$7:$J$119,Empresas!$B$7:$B$119,"ES0126962069"),""),IF(SUMIFS(Empresas!$J$7:$J$119,Empresas!$B$7:$B$119,"ES0105777017")&gt;0,SUMIFS(Empresas!$J$7:$J$119,Empresas!$B$7:$B$119,"ES0105777017"),"")))</x:f>
        <x:v>5.245</x:v>
      </x:c>
      <x:c r="J12" s="17" t="n">
        <x:f>COUNTIFS(Empresas!$D$7:$D$119,A12,Empresas!$J$7:$J$119,"&gt;0")</x:f>
        <x:v>2</x:v>
      </x:c>
      <x:c r="K12" s="2"/>
      <x:c r="L12" s="2"/>
      <x:c r="M12" s="2"/>
      <x:c r="N12" s="2"/>
    </x:row>
    <x:row r="13" ht="30" customHeight="1">
      <x:c r="A13" s="8" t="str">
        <x:v>Construcción</x:v>
      </x:c>
      <x:c r="B13" s="14" t="n">
        <x:f>COUNTIFS(Empresas!$D$7:$D$119,A13)</x:f>
        <x:v>7</x:v>
      </x:c>
      <x:c r="C13" s="15" t="n">
        <x:f>IF(D13=0,"n.d.",MEDIAN(IF(SUMIFS(Empresas!$G$7:$G$119,Empresas!$B$7:$B$119,"ES0125220311")&gt;0,SUMIFS(Empresas!$G$7:$G$119,Empresas!$B$7:$B$119,"ES0125220311"),""),IF(SUMIFS(Empresas!$G$7:$G$119,Empresas!$B$7:$B$119,"ES0167050915")&gt;0,SUMIFS(Empresas!$G$7:$G$119,Empresas!$B$7:$B$119,"ES0167050915"),""),IF(SUMIFS(Empresas!$G$7:$G$119,Empresas!$B$7:$B$119,"ES0158300410")&gt;0,SUMIFS(Empresas!$G$7:$G$119,Empresas!$B$7:$B$119,"ES0158300410"),""),IF(SUMIFS(Empresas!$G$7:$G$119,Empresas!$B$7:$B$119,"ES0122060314")&gt;0,SUMIFS(Empresas!$G$7:$G$119,Empresas!$B$7:$B$119,"ES0122060314"),""),IF(SUMIFS(Empresas!$G$7:$G$119,Empresas!$B$7:$B$119,"ES0180918015")&gt;0,SUMIFS(Empresas!$G$7:$G$119,Empresas!$B$7:$B$119,"ES0180918015"),""),IF(SUMIFS(Empresas!$G$7:$G$119,Empresas!$B$7:$B$119,"ES0142090317")&gt;0,SUMIFS(Empresas!$G$7:$G$119,Empresas!$B$7:$B$119,"ES0142090317"),""),IF(SUMIFS(Empresas!$G$7:$G$119,Empresas!$B$7:$B$119,"ES0182870214")&gt;0,SUMIFS(Empresas!$G$7:$G$119,Empresas!$B$7:$B$119,"ES0182870214"),"")))</x:f>
        <x:v>18.5</x:v>
      </x:c>
      <x:c r="D13" s="14" t="n">
        <x:f>COUNTIFS(Empresas!$D$7:$D$119,A13,Empresas!$G$7:$G$119,"&gt;0")</x:f>
        <x:v>6</x:v>
      </x:c>
      <x:c r="E13" s="15" t="n">
        <x:f>IF(F13=0,"n.d.",MEDIAN(IF(SUMIFS(Empresas!$H$7:$H$119,Empresas!$B$7:$B$119,"ES0125220311")&gt;0,SUMIFS(Empresas!$H$7:$H$119,Empresas!$B$7:$B$119,"ES0125220311"),""),IF(SUMIFS(Empresas!$H$7:$H$119,Empresas!$B$7:$B$119,"ES0167050915")&gt;0,SUMIFS(Empresas!$H$7:$H$119,Empresas!$B$7:$B$119,"ES0167050915"),""),IF(SUMIFS(Empresas!$H$7:$H$119,Empresas!$B$7:$B$119,"ES0158300410")&gt;0,SUMIFS(Empresas!$H$7:$H$119,Empresas!$B$7:$B$119,"ES0158300410"),""),IF(SUMIFS(Empresas!$H$7:$H$119,Empresas!$B$7:$B$119,"ES0122060314")&gt;0,SUMIFS(Empresas!$H$7:$H$119,Empresas!$B$7:$B$119,"ES0122060314"),""),IF(SUMIFS(Empresas!$H$7:$H$119,Empresas!$B$7:$B$119,"ES0180918015")&gt;0,SUMIFS(Empresas!$H$7:$H$119,Empresas!$B$7:$B$119,"ES0180918015"),""),IF(SUMIFS(Empresas!$H$7:$H$119,Empresas!$B$7:$B$119,"ES0142090317")&gt;0,SUMIFS(Empresas!$H$7:$H$119,Empresas!$B$7:$B$119,"ES0142090317"),""),IF(SUMIFS(Empresas!$H$7:$H$119,Empresas!$B$7:$B$119,"ES0182870214")&gt;0,SUMIFS(Empresas!$H$7:$H$119,Empresas!$B$7:$B$119,"ES0182870214"),"")))</x:f>
        <x:v>6.94</x:v>
      </x:c>
      <x:c r="F13" s="14" t="n">
        <x:f>COUNTIFS(Empresas!$D$7:$D$119,A13,Empresas!$H$7:$H$119,"&gt;0")</x:f>
        <x:v>5</x:v>
      </x:c>
      <x:c r="G13" s="15" t="n">
        <x:f>IF(H13=0,"n.d.",MEDIAN(IF(SUMIFS(Empresas!$I$7:$I$119,Empresas!$B$7:$B$119,"ES0125220311")&gt;0,SUMIFS(Empresas!$I$7:$I$119,Empresas!$B$7:$B$119,"ES0125220311"),""),IF(SUMIFS(Empresas!$I$7:$I$119,Empresas!$B$7:$B$119,"ES0167050915")&gt;0,SUMIFS(Empresas!$I$7:$I$119,Empresas!$B$7:$B$119,"ES0167050915"),""),IF(SUMIFS(Empresas!$I$7:$I$119,Empresas!$B$7:$B$119,"ES0158300410")&gt;0,SUMIFS(Empresas!$I$7:$I$119,Empresas!$B$7:$B$119,"ES0158300410"),""),IF(SUMIFS(Empresas!$I$7:$I$119,Empresas!$B$7:$B$119,"ES0122060314")&gt;0,SUMIFS(Empresas!$I$7:$I$119,Empresas!$B$7:$B$119,"ES0122060314"),""),IF(SUMIFS(Empresas!$I$7:$I$119,Empresas!$B$7:$B$119,"ES0180918015")&gt;0,SUMIFS(Empresas!$I$7:$I$119,Empresas!$B$7:$B$119,"ES0180918015"),""),IF(SUMIFS(Empresas!$I$7:$I$119,Empresas!$B$7:$B$119,"ES0142090317")&gt;0,SUMIFS(Empresas!$I$7:$I$119,Empresas!$B$7:$B$119,"ES0142090317"),""),IF(SUMIFS(Empresas!$I$7:$I$119,Empresas!$B$7:$B$119,"ES0182870214")&gt;0,SUMIFS(Empresas!$I$7:$I$119,Empresas!$B$7:$B$119,"ES0182870214"),"")))</x:f>
        <x:v>0.85</x:v>
      </x:c>
      <x:c r="H13" s="14" t="n">
        <x:f>COUNTIFS(Empresas!$D$7:$D$119,A13,Empresas!$I$7:$I$119,"&gt;0")</x:f>
        <x:v>5</x:v>
      </x:c>
      <x:c r="I13" s="15" t="n">
        <x:f>IF(J13=0,"n.d.",MEDIAN(IF(SUMIFS(Empresas!$J$7:$J$119,Empresas!$B$7:$B$119,"ES0125220311")&gt;0,SUMIFS(Empresas!$J$7:$J$119,Empresas!$B$7:$B$119,"ES0125220311"),""),IF(SUMIFS(Empresas!$J$7:$J$119,Empresas!$B$7:$B$119,"ES0167050915")&gt;0,SUMIFS(Empresas!$J$7:$J$119,Empresas!$B$7:$B$119,"ES0167050915"),""),IF(SUMIFS(Empresas!$J$7:$J$119,Empresas!$B$7:$B$119,"ES0158300410")&gt;0,SUMIFS(Empresas!$J$7:$J$119,Empresas!$B$7:$B$119,"ES0158300410"),""),IF(SUMIFS(Empresas!$J$7:$J$119,Empresas!$B$7:$B$119,"ES0122060314")&gt;0,SUMIFS(Empresas!$J$7:$J$119,Empresas!$B$7:$B$119,"ES0122060314"),""),IF(SUMIFS(Empresas!$J$7:$J$119,Empresas!$B$7:$B$119,"ES0180918015")&gt;0,SUMIFS(Empresas!$J$7:$J$119,Empresas!$B$7:$B$119,"ES0180918015"),""),IF(SUMIFS(Empresas!$J$7:$J$119,Empresas!$B$7:$B$119,"ES0142090317")&gt;0,SUMIFS(Empresas!$J$7:$J$119,Empresas!$B$7:$B$119,"ES0142090317"),""),IF(SUMIFS(Empresas!$J$7:$J$119,Empresas!$B$7:$B$119,"ES0182870214")&gt;0,SUMIFS(Empresas!$J$7:$J$119,Empresas!$B$7:$B$119,"ES0182870214"),"")))</x:f>
        <x:v>2.565</x:v>
      </x:c>
      <x:c r="J13" s="14" t="n">
        <x:f>COUNTIFS(Empresas!$D$7:$D$119,A13,Empresas!$J$7:$J$119,"&gt;0")</x:f>
        <x:v>4</x:v>
      </x:c>
      <x:c r="K13" s="2"/>
      <x:c r="L13" s="2"/>
      <x:c r="M13" s="2"/>
      <x:c r="N13" s="2"/>
    </x:row>
    <x:row r="14" ht="30" customHeight="1">
      <x:c r="A14" s="16" t="str">
        <x:v>Fabric. y Montaje Bienes de Equipo</x:v>
      </x:c>
      <x:c r="B14" s="17" t="n">
        <x:f>COUNTIFS(Empresas!$D$7:$D$119,A14)</x:f>
        <x:v>7</x:v>
      </x:c>
      <x:c r="C14" s="18" t="n">
        <x:f>IF(D14=0,"n.d.",MEDIAN(IF(SUMIFS(Empresas!$G$7:$G$119,Empresas!$B$7:$B$119,"ES0105521001")&gt;0,SUMIFS(Empresas!$G$7:$G$119,Empresas!$B$7:$B$119,"ES0105521001"),""),IF(SUMIFS(Empresas!$G$7:$G$119,Empresas!$B$7:$B$119,"ES0112458312")&gt;0,SUMIFS(Empresas!$G$7:$G$119,Empresas!$B$7:$B$119,"ES0112458312"),""),IF(SUMIFS(Empresas!$G$7:$G$119,Empresas!$B$7:$B$119,"ES0121975009")&gt;0,SUMIFS(Empresas!$G$7:$G$119,Empresas!$B$7:$B$119,"ES0121975009"),""),IF(SUMIFS(Empresas!$G$7:$G$119,Empresas!$B$7:$B$119,"ES0129743318")&gt;0,SUMIFS(Empresas!$G$7:$G$119,Empresas!$B$7:$B$119,"ES0129743318"),""),IF(SUMIFS(Empresas!$G$7:$G$119,Empresas!$B$7:$B$119,"ES0105223004")&gt;0,SUMIFS(Empresas!$G$7:$G$119,Empresas!$B$7:$B$119,"ES0105223004"),""),IF(SUMIFS(Empresas!$G$7:$G$119,Empresas!$B$7:$B$119,"ES0166300212")&gt;0,SUMIFS(Empresas!$G$7:$G$119,Empresas!$B$7:$B$119,"ES0166300212"),""),IF(SUMIFS(Empresas!$G$7:$G$119,Empresas!$B$7:$B$119,"ES0105065009")&gt;0,SUMIFS(Empresas!$G$7:$G$119,Empresas!$B$7:$B$119,"ES0105065009"),"")))</x:f>
        <x:v>13</x:v>
      </x:c>
      <x:c r="D14" s="17" t="n">
        <x:f>COUNTIFS(Empresas!$D$7:$D$119,A14,Empresas!$G$7:$G$119,"&gt;0")</x:f>
        <x:v>6</x:v>
      </x:c>
      <x:c r="E14" s="18" t="n">
        <x:f>IF(F14=0,"n.d.",MEDIAN(IF(SUMIFS(Empresas!$H$7:$H$119,Empresas!$B$7:$B$119,"ES0105521001")&gt;0,SUMIFS(Empresas!$H$7:$H$119,Empresas!$B$7:$B$119,"ES0105521001"),""),IF(SUMIFS(Empresas!$H$7:$H$119,Empresas!$B$7:$B$119,"ES0112458312")&gt;0,SUMIFS(Empresas!$H$7:$H$119,Empresas!$B$7:$B$119,"ES0112458312"),""),IF(SUMIFS(Empresas!$H$7:$H$119,Empresas!$B$7:$B$119,"ES0121975009")&gt;0,SUMIFS(Empresas!$H$7:$H$119,Empresas!$B$7:$B$119,"ES0121975009"),""),IF(SUMIFS(Empresas!$H$7:$H$119,Empresas!$B$7:$B$119,"ES0129743318")&gt;0,SUMIFS(Empresas!$H$7:$H$119,Empresas!$B$7:$B$119,"ES0129743318"),""),IF(SUMIFS(Empresas!$H$7:$H$119,Empresas!$B$7:$B$119,"ES0105223004")&gt;0,SUMIFS(Empresas!$H$7:$H$119,Empresas!$B$7:$B$119,"ES0105223004"),""),IF(SUMIFS(Empresas!$H$7:$H$119,Empresas!$B$7:$B$119,"ES0166300212")&gt;0,SUMIFS(Empresas!$H$7:$H$119,Empresas!$B$7:$B$119,"ES0166300212"),""),IF(SUMIFS(Empresas!$H$7:$H$119,Empresas!$B$7:$B$119,"ES0105065009")&gt;0,SUMIFS(Empresas!$H$7:$H$119,Empresas!$B$7:$B$119,"ES0105065009"),"")))</x:f>
        <x:v>6.5</x:v>
      </x:c>
      <x:c r="F14" s="17" t="n">
        <x:f>COUNTIFS(Empresas!$D$7:$D$119,A14,Empresas!$H$7:$H$119,"&gt;0")</x:f>
        <x:v>7</x:v>
      </x:c>
      <x:c r="G14" s="18" t="n">
        <x:f>IF(H14=0,"n.d.",MEDIAN(IF(SUMIFS(Empresas!$I$7:$I$119,Empresas!$B$7:$B$119,"ES0105521001")&gt;0,SUMIFS(Empresas!$I$7:$I$119,Empresas!$B$7:$B$119,"ES0105521001"),""),IF(SUMIFS(Empresas!$I$7:$I$119,Empresas!$B$7:$B$119,"ES0112458312")&gt;0,SUMIFS(Empresas!$I$7:$I$119,Empresas!$B$7:$B$119,"ES0112458312"),""),IF(SUMIFS(Empresas!$I$7:$I$119,Empresas!$B$7:$B$119,"ES0121975009")&gt;0,SUMIFS(Empresas!$I$7:$I$119,Empresas!$B$7:$B$119,"ES0121975009"),""),IF(SUMIFS(Empresas!$I$7:$I$119,Empresas!$B$7:$B$119,"ES0129743318")&gt;0,SUMIFS(Empresas!$I$7:$I$119,Empresas!$B$7:$B$119,"ES0129743318"),""),IF(SUMIFS(Empresas!$I$7:$I$119,Empresas!$B$7:$B$119,"ES0105223004")&gt;0,SUMIFS(Empresas!$I$7:$I$119,Empresas!$B$7:$B$119,"ES0105223004"),""),IF(SUMIFS(Empresas!$I$7:$I$119,Empresas!$B$7:$B$119,"ES0166300212")&gt;0,SUMIFS(Empresas!$I$7:$I$119,Empresas!$B$7:$B$119,"ES0166300212"),""),IF(SUMIFS(Empresas!$I$7:$I$119,Empresas!$B$7:$B$119,"ES0105065009")&gt;0,SUMIFS(Empresas!$I$7:$I$119,Empresas!$B$7:$B$119,"ES0105065009"),"")))</x:f>
        <x:v>0.82</x:v>
      </x:c>
      <x:c r="H14" s="17" t="n">
        <x:f>COUNTIFS(Empresas!$D$7:$D$119,A14,Empresas!$I$7:$I$119,"&gt;0")</x:f>
        <x:v>7</x:v>
      </x:c>
      <x:c r="I14" s="18" t="n">
        <x:f>IF(J14=0,"n.d.",MEDIAN(IF(SUMIFS(Empresas!$J$7:$J$119,Empresas!$B$7:$B$119,"ES0105521001")&gt;0,SUMIFS(Empresas!$J$7:$J$119,Empresas!$B$7:$B$119,"ES0105521001"),""),IF(SUMIFS(Empresas!$J$7:$J$119,Empresas!$B$7:$B$119,"ES0112458312")&gt;0,SUMIFS(Empresas!$J$7:$J$119,Empresas!$B$7:$B$119,"ES0112458312"),""),IF(SUMIFS(Empresas!$J$7:$J$119,Empresas!$B$7:$B$119,"ES0121975009")&gt;0,SUMIFS(Empresas!$J$7:$J$119,Empresas!$B$7:$B$119,"ES0121975009"),""),IF(SUMIFS(Empresas!$J$7:$J$119,Empresas!$B$7:$B$119,"ES0129743318")&gt;0,SUMIFS(Empresas!$J$7:$J$119,Empresas!$B$7:$B$119,"ES0129743318"),""),IF(SUMIFS(Empresas!$J$7:$J$119,Empresas!$B$7:$B$119,"ES0105223004")&gt;0,SUMIFS(Empresas!$J$7:$J$119,Empresas!$B$7:$B$119,"ES0105223004"),""),IF(SUMIFS(Empresas!$J$7:$J$119,Empresas!$B$7:$B$119,"ES0166300212")&gt;0,SUMIFS(Empresas!$J$7:$J$119,Empresas!$B$7:$B$119,"ES0166300212"),""),IF(SUMIFS(Empresas!$J$7:$J$119,Empresas!$B$7:$B$119,"ES0105065009")&gt;0,SUMIFS(Empresas!$J$7:$J$119,Empresas!$B$7:$B$119,"ES0105065009"),"")))</x:f>
        <x:v>1.59</x:v>
      </x:c>
      <x:c r="J14" s="17" t="n">
        <x:f>COUNTIFS(Empresas!$D$7:$D$119,A14,Empresas!$J$7:$J$119,"&gt;0")</x:f>
        <x:v>7</x:v>
      </x:c>
      <x:c r="K14" s="2"/>
      <x:c r="L14" s="2"/>
      <x:c r="M14" s="2"/>
      <x:c r="N14" s="2"/>
    </x:row>
    <x:row r="15" ht="30" customHeight="1">
      <x:c r="A15" s="8" t="str">
        <x:v>Industria Química</x:v>
      </x:c>
      <x:c r="B15" s="14" t="n">
        <x:f>COUNTIFS(Empresas!$D$7:$D$119,A15)</x:f>
        <x:v>1</x:v>
      </x:c>
      <x:c r="C15" s="15" t="str">
        <x:f>IF(D15=0,"n.d.",MEDIAN(IF(SUMIFS(Empresas!$G$7:$G$119,Empresas!$B$7:$B$119,"ES0125140A14")&gt;0,SUMIFS(Empresas!$G$7:$G$119,Empresas!$B$7:$B$119,"ES0125140A14"),"")))</x:f>
        <x:v>n.d.</x:v>
      </x:c>
      <x:c r="D15" s="14" t="n">
        <x:f>COUNTIFS(Empresas!$D$7:$D$119,A15,Empresas!$G$7:$G$119,"&gt;0")</x:f>
        <x:v>0</x:v>
      </x:c>
      <x:c r="E15" s="15" t="n">
        <x:f>IF(F15=0,"n.d.",MEDIAN(IF(SUMIFS(Empresas!$H$7:$H$119,Empresas!$B$7:$B$119,"ES0125140A14")&gt;0,SUMIFS(Empresas!$H$7:$H$119,Empresas!$B$7:$B$119,"ES0125140A14"),"")))</x:f>
        <x:v>54.9</x:v>
      </x:c>
      <x:c r="F15" s="14" t="n">
        <x:f>COUNTIFS(Empresas!$D$7:$D$119,A15,Empresas!$H$7:$H$119,"&gt;0")</x:f>
        <x:v>1</x:v>
      </x:c>
      <x:c r="G15" s="15" t="n">
        <x:f>IF(H15=0,"n.d.",MEDIAN(IF(SUMIFS(Empresas!$I$7:$I$119,Empresas!$B$7:$B$119,"ES0125140A14")&gt;0,SUMIFS(Empresas!$I$7:$I$119,Empresas!$B$7:$B$119,"ES0125140A14"),"")))</x:f>
        <x:v>0.65</x:v>
      </x:c>
      <x:c r="H15" s="14" t="n">
        <x:f>COUNTIFS(Empresas!$D$7:$D$119,A15,Empresas!$I$7:$I$119,"&gt;0")</x:f>
        <x:v>1</x:v>
      </x:c>
      <x:c r="I15" s="15" t="str">
        <x:f>IF(J15=0,"n.d.",MEDIAN(IF(SUMIFS(Empresas!$J$7:$J$119,Empresas!$B$7:$B$119,"ES0125140A14")&gt;0,SUMIFS(Empresas!$J$7:$J$119,Empresas!$B$7:$B$119,"ES0125140A14"),"")))</x:f>
        <x:v>n.d.</x:v>
      </x:c>
      <x:c r="J15" s="14" t="n">
        <x:f>COUNTIFS(Empresas!$D$7:$D$119,A15,Empresas!$J$7:$J$119,"&gt;0")</x:f>
        <x:v>0</x:v>
      </x:c>
      <x:c r="K15" s="2"/>
      <x:c r="L15" s="2"/>
      <x:c r="M15" s="2"/>
      <x:c r="N15" s="2"/>
    </x:row>
    <x:row r="16" ht="30" customHeight="1">
      <x:c r="A16" s="16" t="str">
        <x:v>Ingeniería y Otros</x:v>
      </x:c>
      <x:c r="B16" s="17" t="n">
        <x:f>COUNTIFS(Empresas!$D$7:$D$119,A16)</x:f>
        <x:v>6</x:v>
      </x:c>
      <x:c r="C16" s="18" t="n">
        <x:f>IF(D16=0,"n.d.",MEDIAN(IF(SUMIFS(Empresas!$G$7:$G$119,Empresas!$B$7:$B$119,"ES0152768612")&gt;0,SUMIFS(Empresas!$G$7:$G$119,Empresas!$B$7:$B$119,"ES0152768612"),""),IF(SUMIFS(Empresas!$G$7:$G$119,Empresas!$B$7:$B$119,"ES0162600003")&gt;0,SUMIFS(Empresas!$G$7:$G$119,Empresas!$B$7:$B$119,"ES0162600003"),""),IF(SUMIFS(Empresas!$G$7:$G$119,Empresas!$B$7:$B$119,"ES0137650018")&gt;0,SUMIFS(Empresas!$G$7:$G$119,Empresas!$B$7:$B$119,"ES0137650018"),""),IF(SUMIFS(Empresas!$G$7:$G$119,Empresas!$B$7:$B$119,"ES0141571192")&gt;0,SUMIFS(Empresas!$G$7:$G$119,Empresas!$B$7:$B$119,"ES0141571192"),""),IF(SUMIFS(Empresas!$G$7:$G$119,Empresas!$B$7:$B$119,"ES0178165017")&gt;0,SUMIFS(Empresas!$G$7:$G$119,Empresas!$B$7:$B$119,"ES0178165017"),""),IF(SUMIFS(Empresas!$G$7:$G$119,Empresas!$B$7:$B$119,"ES0105394003")&gt;0,SUMIFS(Empresas!$G$7:$G$119,Empresas!$B$7:$B$119,"ES0105394003"),"")))</x:f>
        <x:v>22.7</x:v>
      </x:c>
      <x:c r="D16" s="17" t="n">
        <x:f>COUNTIFS(Empresas!$D$7:$D$119,A16,Empresas!$G$7:$G$119,"&gt;0")</x:f>
        <x:v>3</x:v>
      </x:c>
      <x:c r="E16" s="18" t="n">
        <x:f>IF(F16=0,"n.d.",MEDIAN(IF(SUMIFS(Empresas!$H$7:$H$119,Empresas!$B$7:$B$119,"ES0152768612")&gt;0,SUMIFS(Empresas!$H$7:$H$119,Empresas!$B$7:$B$119,"ES0152768612"),""),IF(SUMIFS(Empresas!$H$7:$H$119,Empresas!$B$7:$B$119,"ES0162600003")&gt;0,SUMIFS(Empresas!$H$7:$H$119,Empresas!$B$7:$B$119,"ES0162600003"),""),IF(SUMIFS(Empresas!$H$7:$H$119,Empresas!$B$7:$B$119,"ES0137650018")&gt;0,SUMIFS(Empresas!$H$7:$H$119,Empresas!$B$7:$B$119,"ES0137650018"),""),IF(SUMIFS(Empresas!$H$7:$H$119,Empresas!$B$7:$B$119,"ES0141571192")&gt;0,SUMIFS(Empresas!$H$7:$H$119,Empresas!$B$7:$B$119,"ES0141571192"),""),IF(SUMIFS(Empresas!$H$7:$H$119,Empresas!$B$7:$B$119,"ES0178165017")&gt;0,SUMIFS(Empresas!$H$7:$H$119,Empresas!$B$7:$B$119,"ES0178165017"),""),IF(SUMIFS(Empresas!$H$7:$H$119,Empresas!$B$7:$B$119,"ES0105394003")&gt;0,SUMIFS(Empresas!$H$7:$H$119,Empresas!$B$7:$B$119,"ES0105394003"),"")))</x:f>
        <x:v>5.54</x:v>
      </x:c>
      <x:c r="F16" s="17" t="n">
        <x:f>COUNTIFS(Empresas!$D$7:$D$119,A16,Empresas!$H$7:$H$119,"&gt;0")</x:f>
        <x:v>3</x:v>
      </x:c>
      <x:c r="G16" s="18" t="n">
        <x:f>IF(H16=0,"n.d.",MEDIAN(IF(SUMIFS(Empresas!$I$7:$I$119,Empresas!$B$7:$B$119,"ES0152768612")&gt;0,SUMIFS(Empresas!$I$7:$I$119,Empresas!$B$7:$B$119,"ES0152768612"),""),IF(SUMIFS(Empresas!$I$7:$I$119,Empresas!$B$7:$B$119,"ES0162600003")&gt;0,SUMIFS(Empresas!$I$7:$I$119,Empresas!$B$7:$B$119,"ES0162600003"),""),IF(SUMIFS(Empresas!$I$7:$I$119,Empresas!$B$7:$B$119,"ES0137650018")&gt;0,SUMIFS(Empresas!$I$7:$I$119,Empresas!$B$7:$B$119,"ES0137650018"),""),IF(SUMIFS(Empresas!$I$7:$I$119,Empresas!$B$7:$B$119,"ES0141571192")&gt;0,SUMIFS(Empresas!$I$7:$I$119,Empresas!$B$7:$B$119,"ES0141571192"),""),IF(SUMIFS(Empresas!$I$7:$I$119,Empresas!$B$7:$B$119,"ES0178165017")&gt;0,SUMIFS(Empresas!$I$7:$I$119,Empresas!$B$7:$B$119,"ES0178165017"),""),IF(SUMIFS(Empresas!$I$7:$I$119,Empresas!$B$7:$B$119,"ES0105394003")&gt;0,SUMIFS(Empresas!$I$7:$I$119,Empresas!$B$7:$B$119,"ES0105394003"),"")))</x:f>
        <x:v>1.635</x:v>
      </x:c>
      <x:c r="H16" s="17" t="n">
        <x:f>COUNTIFS(Empresas!$D$7:$D$119,A16,Empresas!$I$7:$I$119,"&gt;0")</x:f>
        <x:v>4</x:v>
      </x:c>
      <x:c r="I16" s="18" t="n">
        <x:f>IF(J16=0,"n.d.",MEDIAN(IF(SUMIFS(Empresas!$J$7:$J$119,Empresas!$B$7:$B$119,"ES0152768612")&gt;0,SUMIFS(Empresas!$J$7:$J$119,Empresas!$B$7:$B$119,"ES0152768612"),""),IF(SUMIFS(Empresas!$J$7:$J$119,Empresas!$B$7:$B$119,"ES0162600003")&gt;0,SUMIFS(Empresas!$J$7:$J$119,Empresas!$B$7:$B$119,"ES0162600003"),""),IF(SUMIFS(Empresas!$J$7:$J$119,Empresas!$B$7:$B$119,"ES0137650018")&gt;0,SUMIFS(Empresas!$J$7:$J$119,Empresas!$B$7:$B$119,"ES0137650018"),""),IF(SUMIFS(Empresas!$J$7:$J$119,Empresas!$B$7:$B$119,"ES0141571192")&gt;0,SUMIFS(Empresas!$J$7:$J$119,Empresas!$B$7:$B$119,"ES0141571192"),""),IF(SUMIFS(Empresas!$J$7:$J$119,Empresas!$B$7:$B$119,"ES0178165017")&gt;0,SUMIFS(Empresas!$J$7:$J$119,Empresas!$B$7:$B$119,"ES0178165017"),""),IF(SUMIFS(Empresas!$J$7:$J$119,Empresas!$B$7:$B$119,"ES0105394003")&gt;0,SUMIFS(Empresas!$J$7:$J$119,Empresas!$B$7:$B$119,"ES0105394003"),"")))</x:f>
        <x:v>3.355</x:v>
      </x:c>
      <x:c r="J16" s="17" t="n">
        <x:f>COUNTIFS(Empresas!$D$7:$D$119,A16,Empresas!$J$7:$J$119,"&gt;0")</x:f>
        <x:v>2</x:v>
      </x:c>
      <x:c r="K16" s="2"/>
      <x:c r="L16" s="2"/>
      <x:c r="M16" s="2"/>
      <x:c r="N16" s="2"/>
    </x:row>
    <x:row r="17" ht="30" customHeight="1">
      <x:c r="A17" s="8" t="str">
        <x:v>Materiales de Construcción</x:v>
      </x:c>
      <x:c r="B17" s="14" t="n">
        <x:f>COUNTIFS(Empresas!$D$7:$D$119,A17)</x:f>
        <x:v>1</x:v>
      </x:c>
      <x:c r="C17" s="15" t="n">
        <x:f>IF(D17=0,"n.d.",MEDIAN(IF(SUMIFS(Empresas!$G$7:$G$119,Empresas!$B$7:$B$119,"ES0117360117")&gt;0,SUMIFS(Empresas!$G$7:$G$119,Empresas!$B$7:$B$119,"ES0117360117"),"")))</x:f>
        <x:v>11.2</x:v>
      </x:c>
      <x:c r="D17" s="14" t="n">
        <x:f>COUNTIFS(Empresas!$D$7:$D$119,A17,Empresas!$G$7:$G$119,"&gt;0")</x:f>
        <x:v>1</x:v>
      </x:c>
      <x:c r="E17" s="15" t="n">
        <x:f>IF(F17=0,"n.d.",MEDIAN(IF(SUMIFS(Empresas!$H$7:$H$119,Empresas!$B$7:$B$119,"ES0117360117")&gt;0,SUMIFS(Empresas!$H$7:$H$119,Empresas!$B$7:$B$119,"ES0117360117"),"")))</x:f>
        <x:v>5.72</x:v>
      </x:c>
      <x:c r="F17" s="14" t="n">
        <x:f>COUNTIFS(Empresas!$D$7:$D$119,A17,Empresas!$H$7:$H$119,"&gt;0")</x:f>
        <x:v>1</x:v>
      </x:c>
      <x:c r="G17" s="15" t="n">
        <x:f>IF(H17=0,"n.d.",MEDIAN(IF(SUMIFS(Empresas!$I$7:$I$119,Empresas!$B$7:$B$119,"ES0117360117")&gt;0,SUMIFS(Empresas!$I$7:$I$119,Empresas!$B$7:$B$119,"ES0117360117"),"")))</x:f>
        <x:v>1.49</x:v>
      </x:c>
      <x:c r="H17" s="14" t="n">
        <x:f>COUNTIFS(Empresas!$D$7:$D$119,A17,Empresas!$I$7:$I$119,"&gt;0")</x:f>
        <x:v>1</x:v>
      </x:c>
      <x:c r="I17" s="15" t="str">
        <x:f>IF(J17=0,"n.d.",MEDIAN(IF(SUMIFS(Empresas!$J$7:$J$119,Empresas!$B$7:$B$119,"ES0117360117")&gt;0,SUMIFS(Empresas!$J$7:$J$119,Empresas!$B$7:$B$119,"ES0117360117"),"")))</x:f>
        <x:v>n.d.</x:v>
      </x:c>
      <x:c r="J17" s="14" t="n">
        <x:f>COUNTIFS(Empresas!$D$7:$D$119,A17,Empresas!$J$7:$J$119,"&gt;0")</x:f>
        <x:v>0</x:v>
      </x:c>
      <x:c r="K17" s="2"/>
      <x:c r="L17" s="2"/>
      <x:c r="M17" s="2"/>
      <x:c r="N17" s="2"/>
    </x:row>
    <x:row r="18" ht="30" customHeight="1">
      <x:c r="A18" s="16" t="str">
        <x:v>Mineral, Metales y Transformación</x:v>
      </x:c>
      <x:c r="B18" s="17" t="n">
        <x:f>COUNTIFS(Empresas!$D$7:$D$119,A18)</x:f>
        <x:v>6</x:v>
      </x:c>
      <x:c r="C18" s="18" t="n">
        <x:f>IF(D18=0,"n.d.",MEDIAN(IF(SUMIFS(Empresas!$G$7:$G$119,Empresas!$B$7:$B$119,"ES0132105018")&gt;0,SUMIFS(Empresas!$G$7:$G$119,Empresas!$B$7:$B$119,"ES0132105018"),""),IF(SUMIFS(Empresas!$G$7:$G$119,Empresas!$B$7:$B$119,"ES0105630315")&gt;0,SUMIFS(Empresas!$G$7:$G$119,Empresas!$B$7:$B$119,"ES0105630315"),""),IF(SUMIFS(Empresas!$G$7:$G$119,Empresas!$B$7:$B$119,"ES0126251018")&gt;0,SUMIFS(Empresas!$G$7:$G$119,Empresas!$B$7:$B$119,"ES0126251018"),""),IF(SUMIFS(Empresas!$G$7:$G$119,Empresas!$B$7:$B$119,"ES0158480311")&gt;0,SUMIFS(Empresas!$G$7:$G$119,Empresas!$B$7:$B$119,"ES0158480311"),""),IF(SUMIFS(Empresas!$G$7:$G$119,Empresas!$B$7:$B$119,"ES0132945017")&gt;0,SUMIFS(Empresas!$G$7:$G$119,Empresas!$B$7:$B$119,"ES0132945017"),""),IF(SUMIFS(Empresas!$G$7:$G$119,Empresas!$B$7:$B$119,"ES0180850416")&gt;0,SUMIFS(Empresas!$G$7:$G$119,Empresas!$B$7:$B$119,"ES0180850416"),"")))</x:f>
        <x:v>9.54</x:v>
      </x:c>
      <x:c r="D18" s="17" t="n">
        <x:f>COUNTIFS(Empresas!$D$7:$D$119,A18,Empresas!$G$7:$G$119,"&gt;0")</x:f>
        <x:v>2</x:v>
      </x:c>
      <x:c r="E18" s="18" t="n">
        <x:f>IF(F18=0,"n.d.",MEDIAN(IF(SUMIFS(Empresas!$H$7:$H$119,Empresas!$B$7:$B$119,"ES0132105018")&gt;0,SUMIFS(Empresas!$H$7:$H$119,Empresas!$B$7:$B$119,"ES0132105018"),""),IF(SUMIFS(Empresas!$H$7:$H$119,Empresas!$B$7:$B$119,"ES0105630315")&gt;0,SUMIFS(Empresas!$H$7:$H$119,Empresas!$B$7:$B$119,"ES0105630315"),""),IF(SUMIFS(Empresas!$H$7:$H$119,Empresas!$B$7:$B$119,"ES0126251018")&gt;0,SUMIFS(Empresas!$H$7:$H$119,Empresas!$B$7:$B$119,"ES0126251018"),""),IF(SUMIFS(Empresas!$H$7:$H$119,Empresas!$B$7:$B$119,"ES0158480311")&gt;0,SUMIFS(Empresas!$H$7:$H$119,Empresas!$B$7:$B$119,"ES0158480311"),""),IF(SUMIFS(Empresas!$H$7:$H$119,Empresas!$B$7:$B$119,"ES0132945017")&gt;0,SUMIFS(Empresas!$H$7:$H$119,Empresas!$B$7:$B$119,"ES0132945017"),""),IF(SUMIFS(Empresas!$H$7:$H$119,Empresas!$B$7:$B$119,"ES0180850416")&gt;0,SUMIFS(Empresas!$H$7:$H$119,Empresas!$B$7:$B$119,"ES0180850416"),"")))</x:f>
        <x:v>7.25</x:v>
      </x:c>
      <x:c r="F18" s="17" t="n">
        <x:f>COUNTIFS(Empresas!$D$7:$D$119,A18,Empresas!$H$7:$H$119,"&gt;0")</x:f>
        <x:v>5</x:v>
      </x:c>
      <x:c r="G18" s="18" t="n">
        <x:f>IF(H18=0,"n.d.",MEDIAN(IF(SUMIFS(Empresas!$I$7:$I$119,Empresas!$B$7:$B$119,"ES0132105018")&gt;0,SUMIFS(Empresas!$I$7:$I$119,Empresas!$B$7:$B$119,"ES0132105018"),""),IF(SUMIFS(Empresas!$I$7:$I$119,Empresas!$B$7:$B$119,"ES0105630315")&gt;0,SUMIFS(Empresas!$I$7:$I$119,Empresas!$B$7:$B$119,"ES0105630315"),""),IF(SUMIFS(Empresas!$I$7:$I$119,Empresas!$B$7:$B$119,"ES0126251018")&gt;0,SUMIFS(Empresas!$I$7:$I$119,Empresas!$B$7:$B$119,"ES0126251018"),""),IF(SUMIFS(Empresas!$I$7:$I$119,Empresas!$B$7:$B$119,"ES0158480311")&gt;0,SUMIFS(Empresas!$I$7:$I$119,Empresas!$B$7:$B$119,"ES0158480311"),""),IF(SUMIFS(Empresas!$I$7:$I$119,Empresas!$B$7:$B$119,"ES0132945017")&gt;0,SUMIFS(Empresas!$I$7:$I$119,Empresas!$B$7:$B$119,"ES0132945017"),""),IF(SUMIFS(Empresas!$I$7:$I$119,Empresas!$B$7:$B$119,"ES0180850416")&gt;0,SUMIFS(Empresas!$I$7:$I$119,Empresas!$B$7:$B$119,"ES0180850416"),"")))</x:f>
        <x:v>0.91</x:v>
      </x:c>
      <x:c r="H18" s="17" t="n">
        <x:f>COUNTIFS(Empresas!$D$7:$D$119,A18,Empresas!$I$7:$I$119,"&gt;0")</x:f>
        <x:v>6</x:v>
      </x:c>
      <x:c r="I18" s="18" t="n">
        <x:f>IF(J18=0,"n.d.",MEDIAN(IF(SUMIFS(Empresas!$J$7:$J$119,Empresas!$B$7:$B$119,"ES0132105018")&gt;0,SUMIFS(Empresas!$J$7:$J$119,Empresas!$B$7:$B$119,"ES0132105018"),""),IF(SUMIFS(Empresas!$J$7:$J$119,Empresas!$B$7:$B$119,"ES0105630315")&gt;0,SUMIFS(Empresas!$J$7:$J$119,Empresas!$B$7:$B$119,"ES0105630315"),""),IF(SUMIFS(Empresas!$J$7:$J$119,Empresas!$B$7:$B$119,"ES0126251018")&gt;0,SUMIFS(Empresas!$J$7:$J$119,Empresas!$B$7:$B$119,"ES0126251018"),""),IF(SUMIFS(Empresas!$J$7:$J$119,Empresas!$B$7:$B$119,"ES0158480311")&gt;0,SUMIFS(Empresas!$J$7:$J$119,Empresas!$B$7:$B$119,"ES0158480311"),""),IF(SUMIFS(Empresas!$J$7:$J$119,Empresas!$B$7:$B$119,"ES0132945017")&gt;0,SUMIFS(Empresas!$J$7:$J$119,Empresas!$B$7:$B$119,"ES0132945017"),""),IF(SUMIFS(Empresas!$J$7:$J$119,Empresas!$B$7:$B$119,"ES0180850416")&gt;0,SUMIFS(Empresas!$J$7:$J$119,Empresas!$B$7:$B$119,"ES0180850416"),"")))</x:f>
        <x:v>1.5</x:v>
      </x:c>
      <x:c r="J18" s="17" t="n">
        <x:f>COUNTIFS(Empresas!$D$7:$D$119,A18,Empresas!$J$7:$J$119,"&gt;0")</x:f>
        <x:v>4</x:v>
      </x:c>
      <x:c r="K18" s="2"/>
      <x:c r="L18" s="2"/>
      <x:c r="M18" s="2"/>
      <x:c r="N18" s="2"/>
    </x:row>
    <x:row r="19" ht="30" customHeight="1">
      <x:c r="A19" s="8" t="str">
        <x:v>Agua y Otros</x:v>
      </x:c>
      <x:c r="B19" s="14" t="n">
        <x:f>COUNTIFS(Empresas!$D$7:$D$119,A19)</x:f>
        <x:v>1</x:v>
      </x:c>
      <x:c r="C19" s="15" t="n">
        <x:f>IF(D19=0,"n.d.",MEDIAN(IF(SUMIFS(Empresas!$G$7:$G$119,Empresas!$B$7:$B$119,"ES0105848008")&gt;0,SUMIFS(Empresas!$G$7:$G$119,Empresas!$B$7:$B$119,"ES0105848008"),"")))</x:f>
        <x:v>11.7</x:v>
      </x:c>
      <x:c r="D19" s="14" t="n">
        <x:f>COUNTIFS(Empresas!$D$7:$D$119,A19,Empresas!$G$7:$G$119,"&gt;0")</x:f>
        <x:v>1</x:v>
      </x:c>
      <x:c r="E19" s="15" t="n">
        <x:f>IF(F19=0,"n.d.",MEDIAN(IF(SUMIFS(Empresas!$H$7:$H$119,Empresas!$B$7:$B$119,"ES0105848008")&gt;0,SUMIFS(Empresas!$H$7:$H$119,Empresas!$B$7:$B$119,"ES0105848008"),"")))</x:f>
        <x:v>5.15</x:v>
      </x:c>
      <x:c r="F19" s="14" t="n">
        <x:f>COUNTIFS(Empresas!$D$7:$D$119,A19,Empresas!$H$7:$H$119,"&gt;0")</x:f>
        <x:v>1</x:v>
      </x:c>
      <x:c r="G19" s="15" t="n">
        <x:f>IF(H19=0,"n.d.",MEDIAN(IF(SUMIFS(Empresas!$I$7:$I$119,Empresas!$B$7:$B$119,"ES0105848008")&gt;0,SUMIFS(Empresas!$I$7:$I$119,Empresas!$B$7:$B$119,"ES0105848008"),"")))</x:f>
        <x:v>1.02</x:v>
      </x:c>
      <x:c r="H19" s="14" t="n">
        <x:f>COUNTIFS(Empresas!$D$7:$D$119,A19,Empresas!$I$7:$I$119,"&gt;0")</x:f>
        <x:v>1</x:v>
      </x:c>
      <x:c r="I19" s="15" t="str">
        <x:f>IF(J19=0,"n.d.",MEDIAN(IF(SUMIFS(Empresas!$J$7:$J$119,Empresas!$B$7:$B$119,"ES0105848008")&gt;0,SUMIFS(Empresas!$J$7:$J$119,Empresas!$B$7:$B$119,"ES0105848008"),"")))</x:f>
        <x:v>n.d.</x:v>
      </x:c>
      <x:c r="J19" s="14" t="n">
        <x:f>COUNTIFS(Empresas!$D$7:$D$119,A19,Empresas!$J$7:$J$119,"&gt;0")</x:f>
        <x:v>0</x:v>
      </x:c>
      <x:c r="K19" s="2"/>
      <x:c r="L19" s="2"/>
      <x:c r="M19" s="2"/>
      <x:c r="N19" s="2"/>
    </x:row>
    <x:row r="20" ht="30" customHeight="1">
      <x:c r="A20" s="16" t="str">
        <x:v>Electricidad y Gas</x:v>
      </x:c>
      <x:c r="B20" s="17" t="n">
        <x:f>COUNTIFS(Empresas!$D$7:$D$119,A20)</x:f>
        <x:v>5</x:v>
      </x:c>
      <x:c r="C20" s="18" t="n">
        <x:f>IF(D20=0,"n.d.",MEDIAN(IF(SUMIFS(Empresas!$G$7:$G$119,Empresas!$B$7:$B$119,"ES0130960018")&gt;0,SUMIFS(Empresas!$G$7:$G$119,Empresas!$B$7:$B$119,"ES0130960018"),""),IF(SUMIFS(Empresas!$G$7:$G$119,Empresas!$B$7:$B$119,"ES0130670112")&gt;0,SUMIFS(Empresas!$G$7:$G$119,Empresas!$B$7:$B$119,"ES0130670112"),""),IF(SUMIFS(Empresas!$G$7:$G$119,Empresas!$B$7:$B$119,"ES0144580Y14")&gt;0,SUMIFS(Empresas!$G$7:$G$119,Empresas!$B$7:$B$119,"ES0144580Y14"),""),IF(SUMIFS(Empresas!$G$7:$G$119,Empresas!$B$7:$B$119,"ES0116870314")&gt;0,SUMIFS(Empresas!$G$7:$G$119,Empresas!$B$7:$B$119,"ES0116870314"),""),IF(SUMIFS(Empresas!$G$7:$G$119,Empresas!$B$7:$B$119,"ES0173093024")&gt;0,SUMIFS(Empresas!$G$7:$G$119,Empresas!$B$7:$B$119,"ES0173093024"),"")))</x:f>
        <x:v>14.6</x:v>
      </x:c>
      <x:c r="D20" s="17" t="n">
        <x:f>COUNTIFS(Empresas!$D$7:$D$119,A20,Empresas!$G$7:$G$119,"&gt;0")</x:f>
        <x:v>5</x:v>
      </x:c>
      <x:c r="E20" s="18" t="n">
        <x:f>IF(F20=0,"n.d.",MEDIAN(IF(SUMIFS(Empresas!$H$7:$H$119,Empresas!$B$7:$B$119,"ES0130960018")&gt;0,SUMIFS(Empresas!$H$7:$H$119,Empresas!$B$7:$B$119,"ES0130960018"),""),IF(SUMIFS(Empresas!$H$7:$H$119,Empresas!$B$7:$B$119,"ES0130670112")&gt;0,SUMIFS(Empresas!$H$7:$H$119,Empresas!$B$7:$B$119,"ES0130670112"),""),IF(SUMIFS(Empresas!$H$7:$H$119,Empresas!$B$7:$B$119,"ES0144580Y14")&gt;0,SUMIFS(Empresas!$H$7:$H$119,Empresas!$B$7:$B$119,"ES0144580Y14"),""),IF(SUMIFS(Empresas!$H$7:$H$119,Empresas!$B$7:$B$119,"ES0116870314")&gt;0,SUMIFS(Empresas!$H$7:$H$119,Empresas!$B$7:$B$119,"ES0116870314"),""),IF(SUMIFS(Empresas!$H$7:$H$119,Empresas!$B$7:$B$119,"ES0173093024")&gt;0,SUMIFS(Empresas!$H$7:$H$119,Empresas!$B$7:$B$119,"ES0173093024"),"")))</x:f>
        <x:v>8.72</x:v>
      </x:c>
      <x:c r="F20" s="17" t="n">
        <x:f>COUNTIFS(Empresas!$D$7:$D$119,A20,Empresas!$H$7:$H$119,"&gt;0")</x:f>
        <x:v>5</x:v>
      </x:c>
      <x:c r="G20" s="18" t="n">
        <x:f>IF(H20=0,"n.d.",MEDIAN(IF(SUMIFS(Empresas!$I$7:$I$119,Empresas!$B$7:$B$119,"ES0130960018")&gt;0,SUMIFS(Empresas!$I$7:$I$119,Empresas!$B$7:$B$119,"ES0130960018"),""),IF(SUMIFS(Empresas!$I$7:$I$119,Empresas!$B$7:$B$119,"ES0130670112")&gt;0,SUMIFS(Empresas!$I$7:$I$119,Empresas!$B$7:$B$119,"ES0130670112"),""),IF(SUMIFS(Empresas!$I$7:$I$119,Empresas!$B$7:$B$119,"ES0144580Y14")&gt;0,SUMIFS(Empresas!$I$7:$I$119,Empresas!$B$7:$B$119,"ES0144580Y14"),""),IF(SUMIFS(Empresas!$I$7:$I$119,Empresas!$B$7:$B$119,"ES0116870314")&gt;0,SUMIFS(Empresas!$I$7:$I$119,Empresas!$B$7:$B$119,"ES0116870314"),""),IF(SUMIFS(Empresas!$I$7:$I$119,Empresas!$B$7:$B$119,"ES0173093024")&gt;0,SUMIFS(Empresas!$I$7:$I$119,Empresas!$B$7:$B$119,"ES0173093024"),"")))</x:f>
        <x:v>3.77</x:v>
      </x:c>
      <x:c r="H20" s="17" t="n">
        <x:f>COUNTIFS(Empresas!$D$7:$D$119,A20,Empresas!$I$7:$I$119,"&gt;0")</x:f>
        <x:v>5</x:v>
      </x:c>
      <x:c r="I20" s="18" t="n">
        <x:f>IF(J20=0,"n.d.",MEDIAN(IF(SUMIFS(Empresas!$J$7:$J$119,Empresas!$B$7:$B$119,"ES0130960018")&gt;0,SUMIFS(Empresas!$J$7:$J$119,Empresas!$B$7:$B$119,"ES0130960018"),""),IF(SUMIFS(Empresas!$J$7:$J$119,Empresas!$B$7:$B$119,"ES0130670112")&gt;0,SUMIFS(Empresas!$J$7:$J$119,Empresas!$B$7:$B$119,"ES0130670112"),""),IF(SUMIFS(Empresas!$J$7:$J$119,Empresas!$B$7:$B$119,"ES0144580Y14")&gt;0,SUMIFS(Empresas!$J$7:$J$119,Empresas!$B$7:$B$119,"ES0144580Y14"),""),IF(SUMIFS(Empresas!$J$7:$J$119,Empresas!$B$7:$B$119,"ES0116870314")&gt;0,SUMIFS(Empresas!$J$7:$J$119,Empresas!$B$7:$B$119,"ES0116870314"),""),IF(SUMIFS(Empresas!$J$7:$J$119,Empresas!$B$7:$B$119,"ES0173093024")&gt;0,SUMIFS(Empresas!$J$7:$J$119,Empresas!$B$7:$B$119,"ES0173093024"),"")))</x:f>
        <x:v>2.46</x:v>
      </x:c>
      <x:c r="J20" s="17" t="n">
        <x:f>COUNTIFS(Empresas!$D$7:$D$119,A20,Empresas!$J$7:$J$119,"&gt;0")</x:f>
        <x:v>5</x:v>
      </x:c>
      <x:c r="K20" s="2"/>
      <x:c r="L20" s="2"/>
      <x:c r="M20" s="2"/>
      <x:c r="N20" s="2"/>
    </x:row>
    <x:row r="21" ht="30" customHeight="1">
      <x:c r="A21" s="8" t="str">
        <x:v>Energías Renovables</x:v>
      </x:c>
      <x:c r="B21" s="14" t="n">
        <x:f>COUNTIFS(Empresas!$D$7:$D$119,A21)</x:f>
        <x:v>6</x:v>
      </x:c>
      <x:c r="C21" s="15" t="n">
        <x:f>IF(D21=0,"n.d.",MEDIAN(IF(SUMIFS(Empresas!$G$7:$G$119,Empresas!$B$7:$B$119,"ES0136463017")&gt;0,SUMIFS(Empresas!$G$7:$G$119,Empresas!$B$7:$B$119,"ES0136463017"),""),IF(SUMIFS(Empresas!$G$7:$G$119,Empresas!$B$7:$B$119,"ES0105563003")&gt;0,SUMIFS(Empresas!$G$7:$G$119,Empresas!$B$7:$B$119,"ES0105563003"),""),IF(SUMIFS(Empresas!$G$7:$G$119,Empresas!$B$7:$B$119,"ES0105548004")&gt;0,SUMIFS(Empresas!$G$7:$G$119,Empresas!$B$7:$B$119,"ES0105548004"),""),IF(SUMIFS(Empresas!$G$7:$G$119,Empresas!$B$7:$B$119,"ES0105079000")&gt;0,SUMIFS(Empresas!$G$7:$G$119,Empresas!$B$7:$B$119,"ES0105079000"),""),IF(SUMIFS(Empresas!$G$7:$G$119,Empresas!$B$7:$B$119,"ES0165386014")&gt;0,SUMIFS(Empresas!$G$7:$G$119,Empresas!$B$7:$B$119,"ES0165386014"),""),IF(SUMIFS(Empresas!$G$7:$G$119,Empresas!$B$7:$B$119,"ES0105513008")&gt;0,SUMIFS(Empresas!$G$7:$G$119,Empresas!$B$7:$B$119,"ES0105513008"),"")))</x:f>
        <x:v>22.1</x:v>
      </x:c>
      <x:c r="D21" s="14" t="n">
        <x:f>COUNTIFS(Empresas!$D$7:$D$119,A21,Empresas!$G$7:$G$119,"&gt;0")</x:f>
        <x:v>6</x:v>
      </x:c>
      <x:c r="E21" s="15" t="n">
        <x:f>IF(F21=0,"n.d.",MEDIAN(IF(SUMIFS(Empresas!$H$7:$H$119,Empresas!$B$7:$B$119,"ES0136463017")&gt;0,SUMIFS(Empresas!$H$7:$H$119,Empresas!$B$7:$B$119,"ES0136463017"),""),IF(SUMIFS(Empresas!$H$7:$H$119,Empresas!$B$7:$B$119,"ES0105563003")&gt;0,SUMIFS(Empresas!$H$7:$H$119,Empresas!$B$7:$B$119,"ES0105563003"),""),IF(SUMIFS(Empresas!$H$7:$H$119,Empresas!$B$7:$B$119,"ES0105548004")&gt;0,SUMIFS(Empresas!$H$7:$H$119,Empresas!$B$7:$B$119,"ES0105548004"),""),IF(SUMIFS(Empresas!$H$7:$H$119,Empresas!$B$7:$B$119,"ES0105079000")&gt;0,SUMIFS(Empresas!$H$7:$H$119,Empresas!$B$7:$B$119,"ES0105079000"),""),IF(SUMIFS(Empresas!$H$7:$H$119,Empresas!$B$7:$B$119,"ES0165386014")&gt;0,SUMIFS(Empresas!$H$7:$H$119,Empresas!$B$7:$B$119,"ES0165386014"),""),IF(SUMIFS(Empresas!$H$7:$H$119,Empresas!$B$7:$B$119,"ES0105513008")&gt;0,SUMIFS(Empresas!$H$7:$H$119,Empresas!$B$7:$B$119,"ES0105513008"),"")))</x:f>
        <x:v>13.7</x:v>
      </x:c>
      <x:c r="F21" s="14" t="n">
        <x:f>COUNTIFS(Empresas!$D$7:$D$119,A21,Empresas!$H$7:$H$119,"&gt;0")</x:f>
        <x:v>5</x:v>
      </x:c>
      <x:c r="G21" s="15" t="n">
        <x:f>IF(H21=0,"n.d.",MEDIAN(IF(SUMIFS(Empresas!$I$7:$I$119,Empresas!$B$7:$B$119,"ES0136463017")&gt;0,SUMIFS(Empresas!$I$7:$I$119,Empresas!$B$7:$B$119,"ES0136463017"),""),IF(SUMIFS(Empresas!$I$7:$I$119,Empresas!$B$7:$B$119,"ES0105563003")&gt;0,SUMIFS(Empresas!$I$7:$I$119,Empresas!$B$7:$B$119,"ES0105563003"),""),IF(SUMIFS(Empresas!$I$7:$I$119,Empresas!$B$7:$B$119,"ES0105548004")&gt;0,SUMIFS(Empresas!$I$7:$I$119,Empresas!$B$7:$B$119,"ES0105548004"),""),IF(SUMIFS(Empresas!$I$7:$I$119,Empresas!$B$7:$B$119,"ES0105079000")&gt;0,SUMIFS(Empresas!$I$7:$I$119,Empresas!$B$7:$B$119,"ES0105079000"),""),IF(SUMIFS(Empresas!$I$7:$I$119,Empresas!$B$7:$B$119,"ES0165386014")&gt;0,SUMIFS(Empresas!$I$7:$I$119,Empresas!$B$7:$B$119,"ES0165386014"),""),IF(SUMIFS(Empresas!$I$7:$I$119,Empresas!$B$7:$B$119,"ES0105513008")&gt;0,SUMIFS(Empresas!$I$7:$I$119,Empresas!$B$7:$B$119,"ES0105513008"),"")))</x:f>
        <x:v>4.71</x:v>
      </x:c>
      <x:c r="H21" s="14" t="n">
        <x:f>COUNTIFS(Empresas!$D$7:$D$119,A21,Empresas!$I$7:$I$119,"&gt;0")</x:f>
        <x:v>6</x:v>
      </x:c>
      <x:c r="I21" s="15" t="n">
        <x:f>IF(J21=0,"n.d.",MEDIAN(IF(SUMIFS(Empresas!$J$7:$J$119,Empresas!$B$7:$B$119,"ES0136463017")&gt;0,SUMIFS(Empresas!$J$7:$J$119,Empresas!$B$7:$B$119,"ES0136463017"),""),IF(SUMIFS(Empresas!$J$7:$J$119,Empresas!$B$7:$B$119,"ES0105563003")&gt;0,SUMIFS(Empresas!$J$7:$J$119,Empresas!$B$7:$B$119,"ES0105563003"),""),IF(SUMIFS(Empresas!$J$7:$J$119,Empresas!$B$7:$B$119,"ES0105548004")&gt;0,SUMIFS(Empresas!$J$7:$J$119,Empresas!$B$7:$B$119,"ES0105548004"),""),IF(SUMIFS(Empresas!$J$7:$J$119,Empresas!$B$7:$B$119,"ES0105079000")&gt;0,SUMIFS(Empresas!$J$7:$J$119,Empresas!$B$7:$B$119,"ES0105079000"),""),IF(SUMIFS(Empresas!$J$7:$J$119,Empresas!$B$7:$B$119,"ES0165386014")&gt;0,SUMIFS(Empresas!$J$7:$J$119,Empresas!$B$7:$B$119,"ES0165386014"),""),IF(SUMIFS(Empresas!$J$7:$J$119,Empresas!$B$7:$B$119,"ES0105513008")&gt;0,SUMIFS(Empresas!$J$7:$J$119,Empresas!$B$7:$B$119,"ES0105513008"),"")))</x:f>
        <x:v>2.97</x:v>
      </x:c>
      <x:c r="J21" s="14" t="n">
        <x:f>COUNTIFS(Empresas!$D$7:$D$119,A21,Empresas!$J$7:$J$119,"&gt;0")</x:f>
        <x:v>5</x:v>
      </x:c>
      <x:c r="K21" s="2"/>
      <x:c r="L21" s="2"/>
      <x:c r="M21" s="2"/>
      <x:c r="N21" s="2"/>
    </x:row>
    <x:row r="22" ht="30" customHeight="1">
      <x:c r="A22" s="16" t="str">
        <x:v>Petróleo</x:v>
      </x:c>
      <x:c r="B22" s="17" t="n">
        <x:f>COUNTIFS(Empresas!$D$7:$D$119,A22)</x:f>
        <x:v>1</x:v>
      </x:c>
      <x:c r="C22" s="18" t="n">
        <x:f>IF(D22=0,"n.d.",MEDIAN(IF(SUMIFS(Empresas!$G$7:$G$119,Empresas!$B$7:$B$119,"ES0173516115")&gt;0,SUMIFS(Empresas!$G$7:$G$119,Empresas!$B$7:$B$119,"ES0173516115"),"")))</x:f>
        <x:v>9.83</x:v>
      </x:c>
      <x:c r="D22" s="17" t="n">
        <x:f>COUNTIFS(Empresas!$D$7:$D$119,A22,Empresas!$G$7:$G$119,"&gt;0")</x:f>
        <x:v>1</x:v>
      </x:c>
      <x:c r="E22" s="18" t="n">
        <x:f>IF(F22=0,"n.d.",MEDIAN(IF(SUMIFS(Empresas!$H$7:$H$119,Empresas!$B$7:$B$119,"ES0173516115")&gt;0,SUMIFS(Empresas!$H$7:$H$119,Empresas!$B$7:$B$119,"ES0173516115"),"")))</x:f>
        <x:v>3.06</x:v>
      </x:c>
      <x:c r="F22" s="17" t="n">
        <x:f>COUNTIFS(Empresas!$D$7:$D$119,A22,Empresas!$H$7:$H$119,"&gt;0")</x:f>
        <x:v>1</x:v>
      </x:c>
      <x:c r="G22" s="18" t="n">
        <x:f>IF(H22=0,"n.d.",MEDIAN(IF(SUMIFS(Empresas!$I$7:$I$119,Empresas!$B$7:$B$119,"ES0173516115")&gt;0,SUMIFS(Empresas!$I$7:$I$119,Empresas!$B$7:$B$119,"ES0173516115"),"")))</x:f>
        <x:v>0.41</x:v>
      </x:c>
      <x:c r="H22" s="17" t="n">
        <x:f>COUNTIFS(Empresas!$D$7:$D$119,A22,Empresas!$I$7:$I$119,"&gt;0")</x:f>
        <x:v>1</x:v>
      </x:c>
      <x:c r="I22" s="18" t="n">
        <x:f>IF(J22=0,"n.d.",MEDIAN(IF(SUMIFS(Empresas!$J$7:$J$119,Empresas!$B$7:$B$119,"ES0173516115")&gt;0,SUMIFS(Empresas!$J$7:$J$119,Empresas!$B$7:$B$119,"ES0173516115"),"")))</x:f>
        <x:v>0.72</x:v>
      </x:c>
      <x:c r="J22" s="17" t="n">
        <x:f>COUNTIFS(Empresas!$D$7:$D$119,A22,Empresas!$J$7:$J$119,"&gt;0")</x:f>
        <x:v>1</x:v>
      </x:c>
      <x:c r="K22" s="2"/>
      <x:c r="L22" s="2"/>
      <x:c r="M22" s="2"/>
      <x:c r="N22" s="2"/>
    </x:row>
    <x:row r="23" ht="30" customHeight="1">
      <x:c r="A23" s="8" t="str">
        <x:v>Bancos y Cajas de Ahorro</x:v>
      </x:c>
      <x:c r="B23" s="14" t="n">
        <x:f>COUNTIFS(Empresas!$D$7:$D$119,A23)</x:f>
        <x:v>6</x:v>
      </x:c>
      <x:c r="C23" s="15" t="n">
        <x:f>IF(D23=0,"n.d.",MEDIAN(IF(SUMIFS(Empresas!$G$7:$G$119,Empresas!$B$7:$B$119,"ES0113211835")&gt;0,SUMIFS(Empresas!$G$7:$G$119,Empresas!$B$7:$B$119,"ES0113211835"),""),IF(SUMIFS(Empresas!$G$7:$G$119,Empresas!$B$7:$B$119,"ES0113860A34")&gt;0,SUMIFS(Empresas!$G$7:$G$119,Empresas!$B$7:$B$119,"ES0113860A34"),""),IF(SUMIFS(Empresas!$G$7:$G$119,Empresas!$B$7:$B$119,"ES0113900J37")&gt;0,SUMIFS(Empresas!$G$7:$G$119,Empresas!$B$7:$B$119,"ES0113900J37"),""),IF(SUMIFS(Empresas!$G$7:$G$119,Empresas!$B$7:$B$119,"ES0113679I37")&gt;0,SUMIFS(Empresas!$G$7:$G$119,Empresas!$B$7:$B$119,"ES0113679I37"),""),IF(SUMIFS(Empresas!$G$7:$G$119,Empresas!$B$7:$B$119,"ES0140609019")&gt;0,SUMIFS(Empresas!$G$7:$G$119,Empresas!$B$7:$B$119,"ES0140609019"),""),IF(SUMIFS(Empresas!$G$7:$G$119,Empresas!$B$7:$B$119,"ES0180907000")&gt;0,SUMIFS(Empresas!$G$7:$G$119,Empresas!$B$7:$B$119,"ES0180907000"),"")))</x:f>
        <x:v>11.350000000000001</x:v>
      </x:c>
      <x:c r="D23" s="14" t="n">
        <x:f>COUNTIFS(Empresas!$D$7:$D$119,A23,Empresas!$G$7:$G$119,"&gt;0")</x:f>
        <x:v>6</x:v>
      </x:c>
      <x:c r="E23" s="15" t="str">
        <x:v>n.a.</x:v>
      </x:c>
      <x:c r="F23" s="14" t="n">
        <x:v>0</x:v>
      </x:c>
      <x:c r="G23" s="15" t="str">
        <x:v>n.a.</x:v>
      </x:c>
      <x:c r="H23" s="14" t="n">
        <x:v>0</x:v>
      </x:c>
      <x:c r="I23" s="15" t="n">
        <x:f>IF(J23=0,"n.d.",MEDIAN(IF(SUMIFS(Empresas!$J$7:$J$119,Empresas!$B$7:$B$119,"ES0113211835")&gt;0,SUMIFS(Empresas!$J$7:$J$119,Empresas!$B$7:$B$119,"ES0113211835"),""),IF(SUMIFS(Empresas!$J$7:$J$119,Empresas!$B$7:$B$119,"ES0113860A34")&gt;0,SUMIFS(Empresas!$J$7:$J$119,Empresas!$B$7:$B$119,"ES0113860A34"),""),IF(SUMIFS(Empresas!$J$7:$J$119,Empresas!$B$7:$B$119,"ES0113900J37")&gt;0,SUMIFS(Empresas!$J$7:$J$119,Empresas!$B$7:$B$119,"ES0113900J37"),""),IF(SUMIFS(Empresas!$J$7:$J$119,Empresas!$B$7:$B$119,"ES0113679I37")&gt;0,SUMIFS(Empresas!$J$7:$J$119,Empresas!$B$7:$B$119,"ES0113679I37"),""),IF(SUMIFS(Empresas!$J$7:$J$119,Empresas!$B$7:$B$119,"ES0140609019")&gt;0,SUMIFS(Empresas!$J$7:$J$119,Empresas!$B$7:$B$119,"ES0140609019"),""),IF(SUMIFS(Empresas!$J$7:$J$119,Empresas!$B$7:$B$119,"ES0180907000")&gt;0,SUMIFS(Empresas!$J$7:$J$119,Empresas!$B$7:$B$119,"ES0180907000"),"")))</x:f>
        <x:v>1.605</x:v>
      </x:c>
      <x:c r="J23" s="14" t="n">
        <x:f>COUNTIFS(Empresas!$D$7:$D$119,A23,Empresas!$J$7:$J$119,"&gt;0")</x:f>
        <x:v>6</x:v>
      </x:c>
      <x:c r="K23" s="2"/>
      <x:c r="L23" s="2"/>
      <x:c r="M23" s="2"/>
      <x:c r="N23" s="2"/>
    </x:row>
    <x:row r="24" ht="30" customHeight="1">
      <x:c r="A24" s="16" t="str">
        <x:v>Cartera y Holding</x:v>
      </x:c>
      <x:c r="B24" s="17" t="n">
        <x:f>COUNTIFS(Empresas!$D$7:$D$119,A24)</x:f>
        <x:v>2</x:v>
      </x:c>
      <x:c r="C24" s="18" t="n">
        <x:f>IF(D24=0,"n.d.",MEDIAN(IF(SUMIFS(Empresas!$G$7:$G$119,Empresas!$B$7:$B$119,"ES0126501131")&gt;0,SUMIFS(Empresas!$G$7:$G$119,Empresas!$B$7:$B$119,"ES0126501131"),""),IF(SUMIFS(Empresas!$G$7:$G$119,Empresas!$B$7:$B$119,"ES0105836003")&gt;0,SUMIFS(Empresas!$G$7:$G$119,Empresas!$B$7:$B$119,"ES0105836003"),"")))</x:f>
        <x:v>10.459999999999999</x:v>
      </x:c>
      <x:c r="D24" s="17" t="n">
        <x:f>COUNTIFS(Empresas!$D$7:$D$119,A24,Empresas!$G$7:$G$119,"&gt;0")</x:f>
        <x:v>2</x:v>
      </x:c>
      <x:c r="E24" s="18" t="n">
        <x:f>IF(F24=0,"n.d.",MEDIAN(IF(SUMIFS(Empresas!$H$7:$H$119,Empresas!$B$7:$B$119,"ES0126501131")&gt;0,SUMIFS(Empresas!$H$7:$H$119,Empresas!$B$7:$B$119,"ES0126501131"),""),IF(SUMIFS(Empresas!$H$7:$H$119,Empresas!$B$7:$B$119,"ES0105836003")&gt;0,SUMIFS(Empresas!$H$7:$H$119,Empresas!$B$7:$B$119,"ES0105836003"),"")))</x:f>
        <x:v>6.07</x:v>
      </x:c>
      <x:c r="F24" s="17" t="n">
        <x:f>COUNTIFS(Empresas!$D$7:$D$119,A24,Empresas!$H$7:$H$119,"&gt;0")</x:f>
        <x:v>1</x:v>
      </x:c>
      <x:c r="G24" s="18" t="n">
        <x:f>IF(H24=0,"n.d.",MEDIAN(IF(SUMIFS(Empresas!$I$7:$I$119,Empresas!$B$7:$B$119,"ES0126501131")&gt;0,SUMIFS(Empresas!$I$7:$I$119,Empresas!$B$7:$B$119,"ES0126501131"),""),IF(SUMIFS(Empresas!$I$7:$I$119,Empresas!$B$7:$B$119,"ES0105836003")&gt;0,SUMIFS(Empresas!$I$7:$I$119,Empresas!$B$7:$B$119,"ES0105836003"),"")))</x:f>
        <x:v>1.65</x:v>
      </x:c>
      <x:c r="H24" s="17" t="n">
        <x:f>COUNTIFS(Empresas!$D$7:$D$119,A24,Empresas!$I$7:$I$119,"&gt;0")</x:f>
        <x:v>2</x:v>
      </x:c>
      <x:c r="I24" s="18" t="n">
        <x:f>IF(J24=0,"n.d.",MEDIAN(IF(SUMIFS(Empresas!$J$7:$J$119,Empresas!$B$7:$B$119,"ES0126501131")&gt;0,SUMIFS(Empresas!$J$7:$J$119,Empresas!$B$7:$B$119,"ES0126501131"),""),IF(SUMIFS(Empresas!$J$7:$J$119,Empresas!$B$7:$B$119,"ES0105836003")&gt;0,SUMIFS(Empresas!$J$7:$J$119,Empresas!$B$7:$B$119,"ES0105836003"),"")))</x:f>
        <x:v>1.07</x:v>
      </x:c>
      <x:c r="J24" s="17" t="n">
        <x:f>COUNTIFS(Empresas!$D$7:$D$119,A24,Empresas!$J$7:$J$119,"&gt;0")</x:f>
        <x:v>1</x:v>
      </x:c>
      <x:c r="K24" s="2"/>
      <x:c r="L24" s="2"/>
      <x:c r="M24" s="2"/>
      <x:c r="N24" s="2"/>
    </x:row>
    <x:row r="25" ht="30" customHeight="1">
      <x:c r="A25" s="8" t="str">
        <x:v>Seguros</x:v>
      </x:c>
      <x:c r="B25" s="14" t="n">
        <x:f>COUNTIFS(Empresas!$D$7:$D$119,A25)</x:f>
        <x:v>2</x:v>
      </x:c>
      <x:c r="C25" s="15" t="n">
        <x:f>IF(D25=0,"n.d.",MEDIAN(IF(SUMIFS(Empresas!$G$7:$G$119,Empresas!$B$7:$B$119,"ES0105546008")&gt;0,SUMIFS(Empresas!$G$7:$G$119,Empresas!$B$7:$B$119,"ES0105546008"),""),IF(SUMIFS(Empresas!$G$7:$G$119,Empresas!$B$7:$B$119,"ES0124244E34")&gt;0,SUMIFS(Empresas!$G$7:$G$119,Empresas!$B$7:$B$119,"ES0124244E34"),"")))</x:f>
        <x:v>12.8</x:v>
      </x:c>
      <x:c r="D25" s="14" t="n">
        <x:f>COUNTIFS(Empresas!$D$7:$D$119,A25,Empresas!$G$7:$G$119,"&gt;0")</x:f>
        <x:v>2</x:v>
      </x:c>
      <x:c r="E25" s="15" t="str">
        <x:v>n.a.</x:v>
      </x:c>
      <x:c r="F25" s="14" t="n">
        <x:v>0</x:v>
      </x:c>
      <x:c r="G25" s="15" t="str">
        <x:v>n.a.</x:v>
      </x:c>
      <x:c r="H25" s="14" t="n">
        <x:v>0</x:v>
      </x:c>
      <x:c r="I25" s="15" t="n">
        <x:f>IF(J25=0,"n.d.",MEDIAN(IF(SUMIFS(Empresas!$J$7:$J$119,Empresas!$B$7:$B$119,"ES0105546008")&gt;0,SUMIFS(Empresas!$J$7:$J$119,Empresas!$B$7:$B$119,"ES0105546008"),""),IF(SUMIFS(Empresas!$J$7:$J$119,Empresas!$B$7:$B$119,"ES0124244E34")&gt;0,SUMIFS(Empresas!$J$7:$J$119,Empresas!$B$7:$B$119,"ES0124244E34"),"")))</x:f>
        <x:v>2.205</x:v>
      </x:c>
      <x:c r="J25" s="14" t="n">
        <x:f>COUNTIFS(Empresas!$D$7:$D$119,A25,Empresas!$J$7:$J$119,"&gt;0")</x:f>
        <x:v>2</x:v>
      </x:c>
      <x:c r="K25" s="2"/>
      <x:c r="L25" s="2"/>
      <x:c r="M25" s="2"/>
      <x:c r="N25" s="2"/>
    </x:row>
    <x:row r="26" ht="30" customHeight="1">
      <x:c r="A26" s="16" t="str">
        <x:v>Servicios de Inversión</x:v>
      </x:c>
      <x:c r="B26" s="17" t="n">
        <x:f>COUNTIFS(Empresas!$D$7:$D$119,A26)</x:f>
        <x:v>1</x:v>
      </x:c>
      <x:c r="C26" s="18" t="n">
        <x:f>IF(D26=0,"n.d.",MEDIAN(IF(SUMIFS(Empresas!$G$7:$G$119,Empresas!$B$7:$B$119,"ES0173358039")&gt;0,SUMIFS(Empresas!$G$7:$G$119,Empresas!$B$7:$B$119,"ES0173358039"),"")))</x:f>
        <x:v>19.2</x:v>
      </x:c>
      <x:c r="D26" s="17" t="n">
        <x:f>COUNTIFS(Empresas!$D$7:$D$119,A26,Empresas!$G$7:$G$119,"&gt;0")</x:f>
        <x:v>1</x:v>
      </x:c>
      <x:c r="E26" s="18" t="str">
        <x:f>IF(F26=0,"n.d.",MEDIAN(IF(SUMIFS(Empresas!$H$7:$H$119,Empresas!$B$7:$B$119,"ES0173358039")&gt;0,SUMIFS(Empresas!$H$7:$H$119,Empresas!$B$7:$B$119,"ES0173358039"),"")))</x:f>
        <x:v>n.d.</x:v>
      </x:c>
      <x:c r="F26" s="17" t="n">
        <x:f>COUNTIFS(Empresas!$D$7:$D$119,A26,Empresas!$H$7:$H$119,"&gt;0")</x:f>
        <x:v>0</x:v>
      </x:c>
      <x:c r="G26" s="18" t="str">
        <x:f>IF(H26=0,"n.d.",MEDIAN(IF(SUMIFS(Empresas!$I$7:$I$119,Empresas!$B$7:$B$119,"ES0173358039")&gt;0,SUMIFS(Empresas!$I$7:$I$119,Empresas!$B$7:$B$119,"ES0173358039"),"")))</x:f>
        <x:v>n.d.</x:v>
      </x:c>
      <x:c r="H26" s="17" t="n">
        <x:f>COUNTIFS(Empresas!$D$7:$D$119,A26,Empresas!$I$7:$I$119,"&gt;0")</x:f>
        <x:v>0</x:v>
      </x:c>
      <x:c r="I26" s="18" t="n">
        <x:f>IF(J26=0,"n.d.",MEDIAN(IF(SUMIFS(Empresas!$J$7:$J$119,Empresas!$B$7:$B$119,"ES0173358039")&gt;0,SUMIFS(Empresas!$J$7:$J$119,Empresas!$B$7:$B$119,"ES0173358039"),"")))</x:f>
        <x:v>4.65</x:v>
      </x:c>
      <x:c r="J26" s="17" t="n">
        <x:f>COUNTIFS(Empresas!$D$7:$D$119,A26,Empresas!$J$7:$J$119,"&gt;0")</x:f>
        <x:v>1</x:v>
      </x:c>
      <x:c r="K26" s="2"/>
      <x:c r="L26" s="2"/>
      <x:c r="M26" s="2"/>
      <x:c r="N26" s="2"/>
    </x:row>
    <x:row r="27" ht="30" customHeight="1">
      <x:c r="A27" s="8" t="str">
        <x:v>Inmobiliarias y Otros</x:v>
      </x:c>
      <x:c r="B27" s="14" t="n">
        <x:f>COUNTIFS(Empresas!$D$7:$D$119,A27)</x:f>
        <x:v>11</x:v>
      </x:c>
      <x:c r="C27" s="15" t="n">
        <x:f>IF(D27=0,"n.d.",MEDIAN(IF(SUMIFS(Empresas!$G$7:$G$119,Empresas!$B$7:$B$119,"ES0105287009")&gt;0,SUMIFS(Empresas!$G$7:$G$119,Empresas!$B$7:$B$119,"ES0105287009"),""),IF(SUMIFS(Empresas!$G$7:$G$119,Empresas!$B$7:$B$119,"ES0132955008")&gt;0,SUMIFS(Empresas!$G$7:$G$119,Empresas!$B$7:$B$119,"ES0132955008"),""),IF(SUMIFS(Empresas!$G$7:$G$119,Empresas!$B$7:$B$119,"ES0154653911")&gt;0,SUMIFS(Empresas!$G$7:$G$119,Empresas!$B$7:$B$119,"ES0154653911"),""),IF(SUMIFS(Empresas!$G$7:$G$119,Empresas!$B$7:$B$119,"ES0137998A12")&gt;0,SUMIFS(Empresas!$G$7:$G$119,Empresas!$B$7:$B$119,"ES0137998A12"),""),IF(SUMIFS(Empresas!$G$7:$G$119,Empresas!$B$7:$B$119,"ES0105122024")&gt;0,SUMIFS(Empresas!$G$7:$G$119,Empresas!$B$7:$B$119,"ES0105122024"),""),IF(SUMIFS(Empresas!$G$7:$G$119,Empresas!$B$7:$B$119,"ES0116494016")&gt;0,SUMIFS(Empresas!$G$7:$G$119,Empresas!$B$7:$B$119,"ES0116494016"),""),IF(SUMIFS(Empresas!$G$7:$G$119,Empresas!$B$7:$B$119,"ES0105251005")&gt;0,SUMIFS(Empresas!$G$7:$G$119,Empresas!$B$7:$B$119,"ES0105251005"),""),IF(SUMIFS(Empresas!$G$7:$G$119,Empresas!$B$7:$B$119,"ES0150480194")&gt;0,SUMIFS(Empresas!$G$7:$G$119,Empresas!$B$7:$B$119,"ES0150480194"),""),IF(SUMIFS(Empresas!$G$7:$G$119,Empresas!$B$7:$B$119,"ES0173908015")&gt;0,SUMIFS(Empresas!$G$7:$G$119,Empresas!$B$7:$B$119,"ES0173908015"),""),IF(SUMIFS(Empresas!$G$7:$G$119,Empresas!$B$7:$B$119,"ES0173365018")&gt;0,SUMIFS(Empresas!$G$7:$G$119,Empresas!$B$7:$B$119,"ES0173365018"),""),IF(SUMIFS(Empresas!$G$7:$G$119,Empresas!$B$7:$B$119,"ES0182280018")&gt;0,SUMIFS(Empresas!$G$7:$G$119,Empresas!$B$7:$B$119,"ES0182280018"),"")))</x:f>
        <x:v>14</x:v>
      </x:c>
      <x:c r="D27" s="14" t="n">
        <x:f>COUNTIFS(Empresas!$D$7:$D$119,A27,Empresas!$G$7:$G$119,"&gt;0")</x:f>
        <x:v>10</x:v>
      </x:c>
      <x:c r="E27" s="15" t="n">
        <x:f>IF(F27=0,"n.d.",MEDIAN(IF(SUMIFS(Empresas!$H$7:$H$119,Empresas!$B$7:$B$119,"ES0105287009")&gt;0,SUMIFS(Empresas!$H$7:$H$119,Empresas!$B$7:$B$119,"ES0105287009"),""),IF(SUMIFS(Empresas!$H$7:$H$119,Empresas!$B$7:$B$119,"ES0132955008")&gt;0,SUMIFS(Empresas!$H$7:$H$119,Empresas!$B$7:$B$119,"ES0132955008"),""),IF(SUMIFS(Empresas!$H$7:$H$119,Empresas!$B$7:$B$119,"ES0154653911")&gt;0,SUMIFS(Empresas!$H$7:$H$119,Empresas!$B$7:$B$119,"ES0154653911"),""),IF(SUMIFS(Empresas!$H$7:$H$119,Empresas!$B$7:$B$119,"ES0137998A12")&gt;0,SUMIFS(Empresas!$H$7:$H$119,Empresas!$B$7:$B$119,"ES0137998A12"),""),IF(SUMIFS(Empresas!$H$7:$H$119,Empresas!$B$7:$B$119,"ES0105122024")&gt;0,SUMIFS(Empresas!$H$7:$H$119,Empresas!$B$7:$B$119,"ES0105122024"),""),IF(SUMIFS(Empresas!$H$7:$H$119,Empresas!$B$7:$B$119,"ES0116494016")&gt;0,SUMIFS(Empresas!$H$7:$H$119,Empresas!$B$7:$B$119,"ES0116494016"),""),IF(SUMIFS(Empresas!$H$7:$H$119,Empresas!$B$7:$B$119,"ES0105251005")&gt;0,SUMIFS(Empresas!$H$7:$H$119,Empresas!$B$7:$B$119,"ES0105251005"),""),IF(SUMIFS(Empresas!$H$7:$H$119,Empresas!$B$7:$B$119,"ES0150480194")&gt;0,SUMIFS(Empresas!$H$7:$H$119,Empresas!$B$7:$B$119,"ES0150480194"),""),IF(SUMIFS(Empresas!$H$7:$H$119,Empresas!$B$7:$B$119,"ES0173908015")&gt;0,SUMIFS(Empresas!$H$7:$H$119,Empresas!$B$7:$B$119,"ES0173908015"),""),IF(SUMIFS(Empresas!$H$7:$H$119,Empresas!$B$7:$B$119,"ES0173365018")&gt;0,SUMIFS(Empresas!$H$7:$H$119,Empresas!$B$7:$B$119,"ES0173365018"),""),IF(SUMIFS(Empresas!$H$7:$H$119,Empresas!$B$7:$B$119,"ES0182280018")&gt;0,SUMIFS(Empresas!$H$7:$H$119,Empresas!$B$7:$B$119,"ES0182280018"),"")))</x:f>
        <x:v>13.5</x:v>
      </x:c>
      <x:c r="F27" s="14" t="n">
        <x:f>COUNTIFS(Empresas!$D$7:$D$119,A27,Empresas!$H$7:$H$119,"&gt;0")</x:f>
        <x:v>9</x:v>
      </x:c>
      <x:c r="G27" s="15" t="n">
        <x:f>IF(H27=0,"n.d.",MEDIAN(IF(SUMIFS(Empresas!$I$7:$I$119,Empresas!$B$7:$B$119,"ES0105287009")&gt;0,SUMIFS(Empresas!$I$7:$I$119,Empresas!$B$7:$B$119,"ES0105287009"),""),IF(SUMIFS(Empresas!$I$7:$I$119,Empresas!$B$7:$B$119,"ES0132955008")&gt;0,SUMIFS(Empresas!$I$7:$I$119,Empresas!$B$7:$B$119,"ES0132955008"),""),IF(SUMIFS(Empresas!$I$7:$I$119,Empresas!$B$7:$B$119,"ES0154653911")&gt;0,SUMIFS(Empresas!$I$7:$I$119,Empresas!$B$7:$B$119,"ES0154653911"),""),IF(SUMIFS(Empresas!$I$7:$I$119,Empresas!$B$7:$B$119,"ES0137998A12")&gt;0,SUMIFS(Empresas!$I$7:$I$119,Empresas!$B$7:$B$119,"ES0137998A12"),""),IF(SUMIFS(Empresas!$I$7:$I$119,Empresas!$B$7:$B$119,"ES0105122024")&gt;0,SUMIFS(Empresas!$I$7:$I$119,Empresas!$B$7:$B$119,"ES0105122024"),""),IF(SUMIFS(Empresas!$I$7:$I$119,Empresas!$B$7:$B$119,"ES0116494016")&gt;0,SUMIFS(Empresas!$I$7:$I$119,Empresas!$B$7:$B$119,"ES0116494016"),""),IF(SUMIFS(Empresas!$I$7:$I$119,Empresas!$B$7:$B$119,"ES0105251005")&gt;0,SUMIFS(Empresas!$I$7:$I$119,Empresas!$B$7:$B$119,"ES0105251005"),""),IF(SUMIFS(Empresas!$I$7:$I$119,Empresas!$B$7:$B$119,"ES0150480194")&gt;0,SUMIFS(Empresas!$I$7:$I$119,Empresas!$B$7:$B$119,"ES0150480194"),""),IF(SUMIFS(Empresas!$I$7:$I$119,Empresas!$B$7:$B$119,"ES0173908015")&gt;0,SUMIFS(Empresas!$I$7:$I$119,Empresas!$B$7:$B$119,"ES0173908015"),""),IF(SUMIFS(Empresas!$I$7:$I$119,Empresas!$B$7:$B$119,"ES0173365018")&gt;0,SUMIFS(Empresas!$I$7:$I$119,Empresas!$B$7:$B$119,"ES0173365018"),""),IF(SUMIFS(Empresas!$I$7:$I$119,Empresas!$B$7:$B$119,"ES0182280018")&gt;0,SUMIFS(Empresas!$I$7:$I$119,Empresas!$B$7:$B$119,"ES0182280018"),"")))</x:f>
        <x:v>3.69</x:v>
      </x:c>
      <x:c r="H27" s="14" t="n">
        <x:f>COUNTIFS(Empresas!$D$7:$D$119,A27,Empresas!$I$7:$I$119,"&gt;0")</x:f>
        <x:v>9</x:v>
      </x:c>
      <x:c r="I27" s="15" t="n">
        <x:f>IF(J27=0,"n.d.",MEDIAN(IF(SUMIFS(Empresas!$J$7:$J$119,Empresas!$B$7:$B$119,"ES0105287009")&gt;0,SUMIFS(Empresas!$J$7:$J$119,Empresas!$B$7:$B$119,"ES0105287009"),""),IF(SUMIFS(Empresas!$J$7:$J$119,Empresas!$B$7:$B$119,"ES0132955008")&gt;0,SUMIFS(Empresas!$J$7:$J$119,Empresas!$B$7:$B$119,"ES0132955008"),""),IF(SUMIFS(Empresas!$J$7:$J$119,Empresas!$B$7:$B$119,"ES0154653911")&gt;0,SUMIFS(Empresas!$J$7:$J$119,Empresas!$B$7:$B$119,"ES0154653911"),""),IF(SUMIFS(Empresas!$J$7:$J$119,Empresas!$B$7:$B$119,"ES0137998A12")&gt;0,SUMIFS(Empresas!$J$7:$J$119,Empresas!$B$7:$B$119,"ES0137998A12"),""),IF(SUMIFS(Empresas!$J$7:$J$119,Empresas!$B$7:$B$119,"ES0105122024")&gt;0,SUMIFS(Empresas!$J$7:$J$119,Empresas!$B$7:$B$119,"ES0105122024"),""),IF(SUMIFS(Empresas!$J$7:$J$119,Empresas!$B$7:$B$119,"ES0116494016")&gt;0,SUMIFS(Empresas!$J$7:$J$119,Empresas!$B$7:$B$119,"ES0116494016"),""),IF(SUMIFS(Empresas!$J$7:$J$119,Empresas!$B$7:$B$119,"ES0105251005")&gt;0,SUMIFS(Empresas!$J$7:$J$119,Empresas!$B$7:$B$119,"ES0105251005"),""),IF(SUMIFS(Empresas!$J$7:$J$119,Empresas!$B$7:$B$119,"ES0150480194")&gt;0,SUMIFS(Empresas!$J$7:$J$119,Empresas!$B$7:$B$119,"ES0150480194"),""),IF(SUMIFS(Empresas!$J$7:$J$119,Empresas!$B$7:$B$119,"ES0173908015")&gt;0,SUMIFS(Empresas!$J$7:$J$119,Empresas!$B$7:$B$119,"ES0173908015"),""),IF(SUMIFS(Empresas!$J$7:$J$119,Empresas!$B$7:$B$119,"ES0173365018")&gt;0,SUMIFS(Empresas!$J$7:$J$119,Empresas!$B$7:$B$119,"ES0173365018"),""),IF(SUMIFS(Empresas!$J$7:$J$119,Empresas!$B$7:$B$119,"ES0182280018")&gt;0,SUMIFS(Empresas!$J$7:$J$119,Empresas!$B$7:$B$119,"ES0182280018"),"")))</x:f>
        <x:v>1.15</x:v>
      </x:c>
      <x:c r="J27" s="14" t="n">
        <x:f>COUNTIFS(Empresas!$D$7:$D$119,A27,Empresas!$J$7:$J$119,"&gt;0")</x:f>
        <x:v>5</x:v>
      </x:c>
      <x:c r="K27" s="2"/>
      <x:c r="L27" s="2"/>
      <x:c r="M27" s="2"/>
      <x:c r="N27" s="2"/>
    </x:row>
    <x:row r="28" ht="30" customHeight="1">
      <x:c r="A28" s="16" t="str">
        <x:v>SOCIMI</x:v>
      </x:c>
      <x:c r="B28" s="17" t="n">
        <x:f>COUNTIFS(Empresas!$D$7:$D$119,A28)</x:f>
        <x:v>3</x:v>
      </x:c>
      <x:c r="C28" s="18" t="n">
        <x:f>IF(D28=0,"n.d.",MEDIAN(IF(SUMIFS(Empresas!$G$7:$G$119,Empresas!$B$7:$B$119,"ES0139140174")&gt;0,SUMIFS(Empresas!$G$7:$G$119,Empresas!$B$7:$B$119,"ES0139140174"),""),IF(SUMIFS(Empresas!$G$7:$G$119,Empresas!$B$7:$B$119,"ES0105025003")&gt;0,SUMIFS(Empresas!$G$7:$G$119,Empresas!$B$7:$B$119,"ES0105025003"),""),IF(SUMIFS(Empresas!$G$7:$G$119,Empresas!$B$7:$B$119,"ES0105376059")&gt;0,SUMIFS(Empresas!$G$7:$G$119,Empresas!$B$7:$B$119,"ES0105376059"),"")))</x:f>
        <x:v>9.76</x:v>
      </x:c>
      <x:c r="D28" s="17" t="n">
        <x:f>COUNTIFS(Empresas!$D$7:$D$119,A28,Empresas!$G$7:$G$119,"&gt;0")</x:f>
        <x:v>3</x:v>
      </x:c>
      <x:c r="E28" s="18" t="n">
        <x:f>IF(F28=0,"n.d.",MEDIAN(IF(SUMIFS(Empresas!$H$7:$H$119,Empresas!$B$7:$B$119,"ES0139140174")&gt;0,SUMIFS(Empresas!$H$7:$H$119,Empresas!$B$7:$B$119,"ES0139140174"),""),IF(SUMIFS(Empresas!$H$7:$H$119,Empresas!$B$7:$B$119,"ES0105025003")&gt;0,SUMIFS(Empresas!$H$7:$H$119,Empresas!$B$7:$B$119,"ES0105025003"),""),IF(SUMIFS(Empresas!$H$7:$H$119,Empresas!$B$7:$B$119,"ES0105376059")&gt;0,SUMIFS(Empresas!$H$7:$H$119,Empresas!$B$7:$B$119,"ES0105376059"),"")))</x:f>
        <x:v>26.9</x:v>
      </x:c>
      <x:c r="F28" s="17" t="n">
        <x:f>COUNTIFS(Empresas!$D$7:$D$119,A28,Empresas!$H$7:$H$119,"&gt;0")</x:f>
        <x:v>3</x:v>
      </x:c>
      <x:c r="G28" s="18" t="n">
        <x:f>IF(H28=0,"n.d.",MEDIAN(IF(SUMIFS(Empresas!$I$7:$I$119,Empresas!$B$7:$B$119,"ES0139140174")&gt;0,SUMIFS(Empresas!$I$7:$I$119,Empresas!$B$7:$B$119,"ES0139140174"),""),IF(SUMIFS(Empresas!$I$7:$I$119,Empresas!$B$7:$B$119,"ES0105025003")&gt;0,SUMIFS(Empresas!$I$7:$I$119,Empresas!$B$7:$B$119,"ES0105025003"),""),IF(SUMIFS(Empresas!$I$7:$I$119,Empresas!$B$7:$B$119,"ES0105376059")&gt;0,SUMIFS(Empresas!$I$7:$I$119,Empresas!$B$7:$B$119,"ES0105376059"),"")))</x:f>
        <x:v>19.8</x:v>
      </x:c>
      <x:c r="H28" s="17" t="n">
        <x:f>COUNTIFS(Empresas!$D$7:$D$119,A28,Empresas!$I$7:$I$119,"&gt;0")</x:f>
        <x:v>3</x:v>
      </x:c>
      <x:c r="I28" s="18" t="n">
        <x:f>IF(J28=0,"n.d.",MEDIAN(IF(SUMIFS(Empresas!$J$7:$J$119,Empresas!$B$7:$B$119,"ES0139140174")&gt;0,SUMIFS(Empresas!$J$7:$J$119,Empresas!$B$7:$B$119,"ES0139140174"),""),IF(SUMIFS(Empresas!$J$7:$J$119,Empresas!$B$7:$B$119,"ES0105025003")&gt;0,SUMIFS(Empresas!$J$7:$J$119,Empresas!$B$7:$B$119,"ES0105025003"),""),IF(SUMIFS(Empresas!$J$7:$J$119,Empresas!$B$7:$B$119,"ES0105376059")&gt;0,SUMIFS(Empresas!$J$7:$J$119,Empresas!$B$7:$B$119,"ES0105376059"),"")))</x:f>
        <x:v>0.72</x:v>
      </x:c>
      <x:c r="J28" s="17" t="n">
        <x:f>COUNTIFS(Empresas!$D$7:$D$119,A28,Empresas!$J$7:$J$119,"&gt;0")</x:f>
        <x:v>3</x:v>
      </x:c>
      <x:c r="K28" s="2"/>
      <x:c r="L28" s="2"/>
      <x:c r="M28" s="2"/>
      <x:c r="N28" s="2"/>
    </x:row>
    <x:row r="29" ht="30" customHeight="1">
      <x:c r="A29" s="8" t="str">
        <x:v>Comercio</x:v>
      </x:c>
      <x:c r="B29" s="14" t="n">
        <x:f>COUNTIFS(Empresas!$D$7:$D$119,A29)</x:f>
        <x:v>2</x:v>
      </x:c>
      <x:c r="C29" s="15" t="n">
        <x:f>IF(D29=0,"n.d.",MEDIAN(IF(SUMIFS(Empresas!$G$7:$G$119,Empresas!$B$7:$B$119,"ES0126775008")&gt;0,SUMIFS(Empresas!$G$7:$G$119,Empresas!$B$7:$B$119,"ES0126775008"),""),IF(SUMIFS(Empresas!$G$7:$G$119,Empresas!$B$7:$B$119,"ES0143421073")&gt;0,SUMIFS(Empresas!$G$7:$G$119,Empresas!$B$7:$B$119,"ES0143421073"),"")))</x:f>
        <x:v>16.5</x:v>
      </x:c>
      <x:c r="D29" s="14" t="n">
        <x:f>COUNTIFS(Empresas!$D$7:$D$119,A29,Empresas!$G$7:$G$119,"&gt;0")</x:f>
        <x:v>1</x:v>
      </x:c>
      <x:c r="E29" s="15" t="n">
        <x:f>IF(F29=0,"n.d.",MEDIAN(IF(SUMIFS(Empresas!$H$7:$H$119,Empresas!$B$7:$B$119,"ES0126775008")&gt;0,SUMIFS(Empresas!$H$7:$H$119,Empresas!$B$7:$B$119,"ES0126775008"),""),IF(SUMIFS(Empresas!$H$7:$H$119,Empresas!$B$7:$B$119,"ES0143421073")&gt;0,SUMIFS(Empresas!$H$7:$H$119,Empresas!$B$7:$B$119,"ES0143421073"),"")))</x:f>
        <x:v>5.95</x:v>
      </x:c>
      <x:c r="F29" s="14" t="n">
        <x:f>COUNTIFS(Empresas!$D$7:$D$119,A29,Empresas!$H$7:$H$119,"&gt;0")</x:f>
        <x:v>1</x:v>
      </x:c>
      <x:c r="G29" s="15" t="n">
        <x:f>IF(H29=0,"n.d.",MEDIAN(IF(SUMIFS(Empresas!$I$7:$I$119,Empresas!$B$7:$B$119,"ES0126775008")&gt;0,SUMIFS(Empresas!$I$7:$I$119,Empresas!$B$7:$B$119,"ES0126775008"),""),IF(SUMIFS(Empresas!$I$7:$I$119,Empresas!$B$7:$B$119,"ES0143421073")&gt;0,SUMIFS(Empresas!$I$7:$I$119,Empresas!$B$7:$B$119,"ES0143421073"),"")))</x:f>
        <x:v>1538.74</x:v>
      </x:c>
      <x:c r="H29" s="14" t="n">
        <x:f>COUNTIFS(Empresas!$D$7:$D$119,A29,Empresas!$I$7:$I$119,"&gt;0")</x:f>
        <x:v>2</x:v>
      </x:c>
      <x:c r="I29" s="15" t="n">
        <x:f>IF(J29=0,"n.d.",MEDIAN(IF(SUMIFS(Empresas!$J$7:$J$119,Empresas!$B$7:$B$119,"ES0126775008")&gt;0,SUMIFS(Empresas!$J$7:$J$119,Empresas!$B$7:$B$119,"ES0126775008"),""),IF(SUMIFS(Empresas!$J$7:$J$119,Empresas!$B$7:$B$119,"ES0143421073")&gt;0,SUMIFS(Empresas!$J$7:$J$119,Empresas!$B$7:$B$119,"ES0143421073"),"")))</x:f>
        <x:v>17</x:v>
      </x:c>
      <x:c r="J29" s="14" t="n">
        <x:f>COUNTIFS(Empresas!$D$7:$D$119,A29,Empresas!$J$7:$J$119,"&gt;0")</x:f>
        <x:v>1</x:v>
      </x:c>
      <x:c r="K29" s="2"/>
      <x:c r="L29" s="2"/>
      <x:c r="M29" s="2"/>
      <x:c r="N29" s="2"/>
    </x:row>
    <x:row r="30" ht="30" customHeight="1">
      <x:c r="A30" s="16" t="str">
        <x:v>Medios de Comunicación y Publicidad</x:v>
      </x:c>
      <x:c r="B30" s="17" t="n">
        <x:f>COUNTIFS(Empresas!$D$7:$D$119,A30)</x:f>
        <x:v>4</x:v>
      </x:c>
      <x:c r="C30" s="18" t="n">
        <x:f>IF(D30=0,"n.d.",MEDIAN(IF(SUMIFS(Empresas!$G$7:$G$119,Empresas!$B$7:$B$119,"ES0109427734")&gt;0,SUMIFS(Empresas!$G$7:$G$119,Empresas!$B$7:$B$119,"ES0109427734"),""),IF(SUMIFS(Empresas!$G$7:$G$119,Empresas!$B$7:$B$119,"ES01717430J3")&gt;0,SUMIFS(Empresas!$G$7:$G$119,Empresas!$B$7:$B$119,"ES01717430J3"),""),IF(SUMIFS(Empresas!$G$7:$G$119,Empresas!$B$7:$B$119,"ES0183304080")&gt;0,SUMIFS(Empresas!$G$7:$G$119,Empresas!$B$7:$B$119,"ES0183304080"),""),IF(SUMIFS(Empresas!$G$7:$G$119,Empresas!$B$7:$B$119,"ES0114820113")&gt;0,SUMIFS(Empresas!$G$7:$G$119,Empresas!$B$7:$B$119,"ES0114820113"),"")))</x:f>
        <x:v>17.4</x:v>
      </x:c>
      <x:c r="D30" s="17" t="n">
        <x:f>COUNTIFS(Empresas!$D$7:$D$119,A30,Empresas!$G$7:$G$119,"&gt;0")</x:f>
        <x:v>3</x:v>
      </x:c>
      <x:c r="E30" s="18" t="n">
        <x:f>IF(F30=0,"n.d.",MEDIAN(IF(SUMIFS(Empresas!$H$7:$H$119,Empresas!$B$7:$B$119,"ES0109427734")&gt;0,SUMIFS(Empresas!$H$7:$H$119,Empresas!$B$7:$B$119,"ES0109427734"),""),IF(SUMIFS(Empresas!$H$7:$H$119,Empresas!$B$7:$B$119,"ES01717430J3")&gt;0,SUMIFS(Empresas!$H$7:$H$119,Empresas!$B$7:$B$119,"ES01717430J3"),""),IF(SUMIFS(Empresas!$H$7:$H$119,Empresas!$B$7:$B$119,"ES0183304080")&gt;0,SUMIFS(Empresas!$H$7:$H$119,Empresas!$B$7:$B$119,"ES0183304080"),""),IF(SUMIFS(Empresas!$H$7:$H$119,Empresas!$B$7:$B$119,"ES0114820113")&gt;0,SUMIFS(Empresas!$H$7:$H$119,Empresas!$B$7:$B$119,"ES0114820113"),"")))</x:f>
        <x:v>8.66</x:v>
      </x:c>
      <x:c r="F30" s="17" t="n">
        <x:f>COUNTIFS(Empresas!$D$7:$D$119,A30,Empresas!$H$7:$H$119,"&gt;0")</x:f>
        <x:v>4</x:v>
      </x:c>
      <x:c r="G30" s="18" t="n">
        <x:f>IF(H30=0,"n.d.",MEDIAN(IF(SUMIFS(Empresas!$I$7:$I$119,Empresas!$B$7:$B$119,"ES0109427734")&gt;0,SUMIFS(Empresas!$I$7:$I$119,Empresas!$B$7:$B$119,"ES0109427734"),""),IF(SUMIFS(Empresas!$I$7:$I$119,Empresas!$B$7:$B$119,"ES01717430J3")&gt;0,SUMIFS(Empresas!$I$7:$I$119,Empresas!$B$7:$B$119,"ES01717430J3"),""),IF(SUMIFS(Empresas!$I$7:$I$119,Empresas!$B$7:$B$119,"ES0183304080")&gt;0,SUMIFS(Empresas!$I$7:$I$119,Empresas!$B$7:$B$119,"ES0183304080"),""),IF(SUMIFS(Empresas!$I$7:$I$119,Empresas!$B$7:$B$119,"ES0114820113")&gt;0,SUMIFS(Empresas!$I$7:$I$119,Empresas!$B$7:$B$119,"ES0114820113"),"")))</x:f>
        <x:v>1.05</x:v>
      </x:c>
      <x:c r="H30" s="17" t="n">
        <x:f>COUNTIFS(Empresas!$D$7:$D$119,A30,Empresas!$I$7:$I$119,"&gt;0")</x:f>
        <x:v>4</x:v>
      </x:c>
      <x:c r="I30" s="18" t="n">
        <x:f>IF(J30=0,"n.d.",MEDIAN(IF(SUMIFS(Empresas!$J$7:$J$119,Empresas!$B$7:$B$119,"ES0109427734")&gt;0,SUMIFS(Empresas!$J$7:$J$119,Empresas!$B$7:$B$119,"ES0109427734"),""),IF(SUMIFS(Empresas!$J$7:$J$119,Empresas!$B$7:$B$119,"ES01717430J3")&gt;0,SUMIFS(Empresas!$J$7:$J$119,Empresas!$B$7:$B$119,"ES01717430J3"),""),IF(SUMIFS(Empresas!$J$7:$J$119,Empresas!$B$7:$B$119,"ES0183304080")&gt;0,SUMIFS(Empresas!$J$7:$J$119,Empresas!$B$7:$B$119,"ES0183304080"),""),IF(SUMIFS(Empresas!$J$7:$J$119,Empresas!$B$7:$B$119,"ES0114820113")&gt;0,SUMIFS(Empresas!$J$7:$J$119,Empresas!$B$7:$B$119,"ES0114820113"),"")))</x:f>
        <x:v>1.5</x:v>
      </x:c>
      <x:c r="J30" s="17" t="n">
        <x:f>COUNTIFS(Empresas!$D$7:$D$119,A30,Empresas!$J$7:$J$119,"&gt;0")</x:f>
        <x:v>3</x:v>
      </x:c>
      <x:c r="K30" s="2"/>
      <x:c r="L30" s="2"/>
      <x:c r="M30" s="2"/>
      <x:c r="N30" s="2"/>
    </x:row>
    <x:row r="31" ht="30" customHeight="1">
      <x:c r="A31" s="8" t="str">
        <x:v>Ocio, Turismo y Hostelería</x:v>
      </x:c>
      <x:c r="B31" s="14" t="n">
        <x:f>COUNTIFS(Empresas!$D$7:$D$119,A31)</x:f>
        <x:v>3</x:v>
      </x:c>
      <x:c r="C31" s="15" t="n">
        <x:f>IF(D31=0,"n.d.",MEDIAN(IF(SUMIFS(Empresas!$G$7:$G$119,Empresas!$B$7:$B$119,"ES0105375002")&gt;0,SUMIFS(Empresas!$G$7:$G$119,Empresas!$B$7:$B$119,"ES0105375002"),""),IF(SUMIFS(Empresas!$G$7:$G$119,Empresas!$B$7:$B$119,"ES0105884011")&gt;0,SUMIFS(Empresas!$G$7:$G$119,Empresas!$B$7:$B$119,"ES0105884011"),""),IF(SUMIFS(Empresas!$G$7:$G$119,Empresas!$B$7:$B$119,"ES0176252718")&gt;0,SUMIFS(Empresas!$G$7:$G$119,Empresas!$B$7:$B$119,"ES0176252718"),"")))</x:f>
        <x:v>31.5</x:v>
      </x:c>
      <x:c r="D31" s="14" t="n">
        <x:f>COUNTIFS(Empresas!$D$7:$D$119,A31,Empresas!$G$7:$G$119,"&gt;0")</x:f>
        <x:v>3</x:v>
      </x:c>
      <x:c r="E31" s="15" t="n">
        <x:f>IF(F31=0,"n.d.",MEDIAN(IF(SUMIFS(Empresas!$H$7:$H$119,Empresas!$B$7:$B$119,"ES0105375002")&gt;0,SUMIFS(Empresas!$H$7:$H$119,Empresas!$B$7:$B$119,"ES0105375002"),""),IF(SUMIFS(Empresas!$H$7:$H$119,Empresas!$B$7:$B$119,"ES0105884011")&gt;0,SUMIFS(Empresas!$H$7:$H$119,Empresas!$B$7:$B$119,"ES0105884011"),""),IF(SUMIFS(Empresas!$H$7:$H$119,Empresas!$B$7:$B$119,"ES0176252718")&gt;0,SUMIFS(Empresas!$H$7:$H$119,Empresas!$B$7:$B$119,"ES0176252718"),"")))</x:f>
        <x:v>6.07</x:v>
      </x:c>
      <x:c r="F31" s="14" t="n">
        <x:f>COUNTIFS(Empresas!$D$7:$D$119,A31,Empresas!$H$7:$H$119,"&gt;0")</x:f>
        <x:v>3</x:v>
      </x:c>
      <x:c r="G31" s="15" t="n">
        <x:f>IF(H31=0,"n.d.",MEDIAN(IF(SUMIFS(Empresas!$I$7:$I$119,Empresas!$B$7:$B$119,"ES0105375002")&gt;0,SUMIFS(Empresas!$I$7:$I$119,Empresas!$B$7:$B$119,"ES0105375002"),""),IF(SUMIFS(Empresas!$I$7:$I$119,Empresas!$B$7:$B$119,"ES0105884011")&gt;0,SUMIFS(Empresas!$I$7:$I$119,Empresas!$B$7:$B$119,"ES0105884011"),""),IF(SUMIFS(Empresas!$I$7:$I$119,Empresas!$B$7:$B$119,"ES0176252718")&gt;0,SUMIFS(Empresas!$I$7:$I$119,Empresas!$B$7:$B$119,"ES0176252718"),"")))</x:f>
        <x:v>1.88</x:v>
      </x:c>
      <x:c r="H31" s="14" t="n">
        <x:f>COUNTIFS(Empresas!$D$7:$D$119,A31,Empresas!$I$7:$I$119,"&gt;0")</x:f>
        <x:v>3</x:v>
      </x:c>
      <x:c r="I31" s="15" t="n">
        <x:f>IF(J31=0,"n.d.",MEDIAN(IF(SUMIFS(Empresas!$J$7:$J$119,Empresas!$B$7:$B$119,"ES0105375002")&gt;0,SUMIFS(Empresas!$J$7:$J$119,Empresas!$B$7:$B$119,"ES0105375002"),""),IF(SUMIFS(Empresas!$J$7:$J$119,Empresas!$B$7:$B$119,"ES0105884011")&gt;0,SUMIFS(Empresas!$J$7:$J$119,Empresas!$B$7:$B$119,"ES0105884011"),""),IF(SUMIFS(Empresas!$J$7:$J$119,Empresas!$B$7:$B$119,"ES0176252718")&gt;0,SUMIFS(Empresas!$J$7:$J$119,Empresas!$B$7:$B$119,"ES0176252718"),"")))</x:f>
        <x:v>2.07</x:v>
      </x:c>
      <x:c r="J31" s="14" t="n">
        <x:f>COUNTIFS(Empresas!$D$7:$D$119,A31,Empresas!$J$7:$J$119,"&gt;0")</x:f>
        <x:v>3</x:v>
      </x:c>
      <x:c r="K31" s="2"/>
      <x:c r="L31" s="2"/>
      <x:c r="M31" s="2"/>
      <x:c r="N31" s="2"/>
    </x:row>
    <x:row r="32" ht="30" customHeight="1">
      <x:c r="A32" s="16" t="str">
        <x:v>Otros Servicios</x:v>
      </x:c>
      <x:c r="B32" s="17" t="n">
        <x:f>COUNTIFS(Empresas!$D$7:$D$119,A32)</x:f>
        <x:v>3</x:v>
      </x:c>
      <x:c r="C32" s="18" t="n">
        <x:f>IF(D32=0,"n.d.",MEDIAN(IF(SUMIFS(Empresas!$G$7:$G$119,Empresas!$B$7:$B$119,"ES0105229001")&gt;0,SUMIFS(Empresas!$G$7:$G$119,Empresas!$B$7:$B$119,"ES0105229001"),""),IF(SUMIFS(Empresas!$G$7:$G$119,Empresas!$B$7:$B$119,"ES0119037010")&gt;0,SUMIFS(Empresas!$G$7:$G$119,Empresas!$B$7:$B$119,"ES0119037010"),""),IF(SUMIFS(Empresas!$G$7:$G$119,Empresas!$B$7:$B$119,"ES0175438003")&gt;0,SUMIFS(Empresas!$G$7:$G$119,Empresas!$B$7:$B$119,"ES0175438003"),"")))</x:f>
        <x:v>11.6</x:v>
      </x:c>
      <x:c r="D32" s="17" t="n">
        <x:f>COUNTIFS(Empresas!$D$7:$D$119,A32,Empresas!$G$7:$G$119,"&gt;0")</x:f>
        <x:v>3</x:v>
      </x:c>
      <x:c r="E32" s="18" t="n">
        <x:f>IF(F32=0,"n.d.",MEDIAN(IF(SUMIFS(Empresas!$H$7:$H$119,Empresas!$B$7:$B$119,"ES0105229001")&gt;0,SUMIFS(Empresas!$H$7:$H$119,Empresas!$B$7:$B$119,"ES0105229001"),""),IF(SUMIFS(Empresas!$H$7:$H$119,Empresas!$B$7:$B$119,"ES0119037010")&gt;0,SUMIFS(Empresas!$H$7:$H$119,Empresas!$B$7:$B$119,"ES0119037010"),""),IF(SUMIFS(Empresas!$H$7:$H$119,Empresas!$B$7:$B$119,"ES0175438003")&gt;0,SUMIFS(Empresas!$H$7:$H$119,Empresas!$B$7:$B$119,"ES0175438003"),"")))</x:f>
        <x:v>5.07</x:v>
      </x:c>
      <x:c r="F32" s="17" t="n">
        <x:f>COUNTIFS(Empresas!$D$7:$D$119,A32,Empresas!$H$7:$H$119,"&gt;0")</x:f>
        <x:v>3</x:v>
      </x:c>
      <x:c r="G32" s="18" t="n">
        <x:f>IF(H32=0,"n.d.",MEDIAN(IF(SUMIFS(Empresas!$I$7:$I$119,Empresas!$B$7:$B$119,"ES0105229001")&gt;0,SUMIFS(Empresas!$I$7:$I$119,Empresas!$B$7:$B$119,"ES0105229001"),""),IF(SUMIFS(Empresas!$I$7:$I$119,Empresas!$B$7:$B$119,"ES0119037010")&gt;0,SUMIFS(Empresas!$I$7:$I$119,Empresas!$B$7:$B$119,"ES0119037010"),""),IF(SUMIFS(Empresas!$I$7:$I$119,Empresas!$B$7:$B$119,"ES0175438003")&gt;0,SUMIFS(Empresas!$I$7:$I$119,Empresas!$B$7:$B$119,"ES0175438003"),"")))</x:f>
        <x:v>0.9</x:v>
      </x:c>
      <x:c r="H32" s="17" t="n">
        <x:f>COUNTIFS(Empresas!$D$7:$D$119,A32,Empresas!$I$7:$I$119,"&gt;0")</x:f>
        <x:v>3</x:v>
      </x:c>
      <x:c r="I32" s="18" t="n">
        <x:f>IF(J32=0,"n.d.",MEDIAN(IF(SUMIFS(Empresas!$J$7:$J$119,Empresas!$B$7:$B$119,"ES0105229001")&gt;0,SUMIFS(Empresas!$J$7:$J$119,Empresas!$B$7:$B$119,"ES0105229001"),""),IF(SUMIFS(Empresas!$J$7:$J$119,Empresas!$B$7:$B$119,"ES0119037010")&gt;0,SUMIFS(Empresas!$J$7:$J$119,Empresas!$B$7:$B$119,"ES0119037010"),""),IF(SUMIFS(Empresas!$J$7:$J$119,Empresas!$B$7:$B$119,"ES0175438003")&gt;0,SUMIFS(Empresas!$J$7:$J$119,Empresas!$B$7:$B$119,"ES0175438003"),"")))</x:f>
        <x:v>5.27</x:v>
      </x:c>
      <x:c r="J32" s="17" t="n">
        <x:f>COUNTIFS(Empresas!$D$7:$D$119,A32,Empresas!$J$7:$J$119,"&gt;0")</x:f>
        <x:v>3</x:v>
      </x:c>
      <x:c r="K32" s="2"/>
      <x:c r="L32" s="2"/>
      <x:c r="M32" s="2"/>
      <x:c r="N32" s="2"/>
    </x:row>
    <x:row r="33" ht="30" customHeight="1">
      <x:c r="A33" s="8" t="str">
        <x:v>Transporte y Distribución</x:v>
      </x:c>
      <x:c r="B33" s="14" t="n">
        <x:f>COUNTIFS(Empresas!$D$7:$D$119,A33)</x:f>
        <x:v>3</x:v>
      </x:c>
      <x:c r="C33" s="15" t="n">
        <x:f>IF(D33=0,"n.d.",MEDIAN(IF(SUMIFS(Empresas!$G$7:$G$119,Empresas!$B$7:$B$119,"ES0105046017")&gt;0,SUMIFS(Empresas!$G$7:$G$119,Empresas!$B$7:$B$119,"ES0105046017"),""),IF(SUMIFS(Empresas!$G$7:$G$119,Empresas!$B$7:$B$119,"ES0105027009")&gt;0,SUMIFS(Empresas!$G$7:$G$119,Empresas!$B$7:$B$119,"ES0105027009"),""),IF(SUMIFS(Empresas!$G$7:$G$119,Empresas!$B$7:$B$119,"ES0177542018")&gt;0,SUMIFS(Empresas!$G$7:$G$119,Empresas!$B$7:$B$119,"ES0177542018"),"")))</x:f>
        <x:v>13.6</x:v>
      </x:c>
      <x:c r="D33" s="14" t="n">
        <x:f>COUNTIFS(Empresas!$D$7:$D$119,A33,Empresas!$G$7:$G$119,"&gt;0")</x:f>
        <x:v>3</x:v>
      </x:c>
      <x:c r="E33" s="15" t="n">
        <x:f>IF(F33=0,"n.d.",MEDIAN(IF(SUMIFS(Empresas!$H$7:$H$119,Empresas!$B$7:$B$119,"ES0105046017")&gt;0,SUMIFS(Empresas!$H$7:$H$119,Empresas!$B$7:$B$119,"ES0105046017"),""),IF(SUMIFS(Empresas!$H$7:$H$119,Empresas!$B$7:$B$119,"ES0105027009")&gt;0,SUMIFS(Empresas!$H$7:$H$119,Empresas!$B$7:$B$119,"ES0105027009"),""),IF(SUMIFS(Empresas!$H$7:$H$119,Empresas!$B$7:$B$119,"ES0177542018")&gt;0,SUMIFS(Empresas!$H$7:$H$119,Empresas!$B$7:$B$119,"ES0177542018"),"")))</x:f>
        <x:v>3.61</x:v>
      </x:c>
      <x:c r="F33" s="14" t="n">
        <x:f>COUNTIFS(Empresas!$D$7:$D$119,A33,Empresas!$H$7:$H$119,"&gt;0")</x:f>
        <x:v>3</x:v>
      </x:c>
      <x:c r="G33" s="15" t="n">
        <x:f>IF(H33=0,"n.d.",MEDIAN(IF(SUMIFS(Empresas!$I$7:$I$119,Empresas!$B$7:$B$119,"ES0105046017")&gt;0,SUMIFS(Empresas!$I$7:$I$119,Empresas!$B$7:$B$119,"ES0105046017"),""),IF(SUMIFS(Empresas!$I$7:$I$119,Empresas!$B$7:$B$119,"ES0105027009")&gt;0,SUMIFS(Empresas!$I$7:$I$119,Empresas!$B$7:$B$119,"ES0105027009"),""),IF(SUMIFS(Empresas!$I$7:$I$119,Empresas!$B$7:$B$119,"ES0177542018")&gt;0,SUMIFS(Empresas!$I$7:$I$119,Empresas!$B$7:$B$119,"ES0177542018"),"")))</x:f>
        <x:v>0.83</x:v>
      </x:c>
      <x:c r="H33" s="14" t="n">
        <x:f>COUNTIFS(Empresas!$D$7:$D$119,A33,Empresas!$I$7:$I$119,"&gt;0")</x:f>
        <x:v>3</x:v>
      </x:c>
      <x:c r="I33" s="15" t="n">
        <x:f>IF(J33=0,"n.d.",MEDIAN(IF(SUMIFS(Empresas!$J$7:$J$119,Empresas!$B$7:$B$119,"ES0105046017")&gt;0,SUMIFS(Empresas!$J$7:$J$119,Empresas!$B$7:$B$119,"ES0105046017"),""),IF(SUMIFS(Empresas!$J$7:$J$119,Empresas!$B$7:$B$119,"ES0105027009")&gt;0,SUMIFS(Empresas!$J$7:$J$119,Empresas!$B$7:$B$119,"ES0105027009"),""),IF(SUMIFS(Empresas!$J$7:$J$119,Empresas!$B$7:$B$119,"ES0177542018")&gt;0,SUMIFS(Empresas!$J$7:$J$119,Empresas!$B$7:$B$119,"ES0177542018"),"")))</x:f>
        <x:v>3.88</x:v>
      </x:c>
      <x:c r="J33" s="14" t="n">
        <x:f>COUNTIFS(Empresas!$D$7:$D$119,A33,Empresas!$J$7:$J$119,"&gt;0")</x:f>
        <x:v>3</x:v>
      </x:c>
      <x:c r="K33" s="2"/>
      <x:c r="L33" s="2"/>
      <x:c r="M33" s="2"/>
      <x:c r="N33" s="2"/>
    </x:row>
    <x:row r="34" ht="30" customHeight="1">
      <x:c r="A34" s="16" t="str">
        <x:v>Electrónica y Software</x:v>
      </x:c>
      <x:c r="B34" s="17" t="n">
        <x:f>COUNTIFS(Empresas!$D$7:$D$119,A34)</x:f>
        <x:v>3</x:v>
      </x:c>
      <x:c r="C34" s="18" t="n">
        <x:f>IF(D34=0,"n.d.",MEDIAN(IF(SUMIFS(Empresas!$G$7:$G$119,Empresas!$B$7:$B$119,"ES0109067019")&gt;0,SUMIFS(Empresas!$G$7:$G$119,Empresas!$B$7:$B$119,"ES0109067019"),""),IF(SUMIFS(Empresas!$G$7:$G$119,Empresas!$B$7:$B$119,"ES0109260291")&gt;0,SUMIFS(Empresas!$G$7:$G$119,Empresas!$B$7:$B$119,"ES0109260291"),""),IF(SUMIFS(Empresas!$G$7:$G$119,Empresas!$B$7:$B$119,"ES0118594417")&gt;0,SUMIFS(Empresas!$G$7:$G$119,Empresas!$B$7:$B$119,"ES0118594417"),"")))</x:f>
        <x:v>20.9</x:v>
      </x:c>
      <x:c r="D34" s="17" t="n">
        <x:f>COUNTIFS(Empresas!$D$7:$D$119,A34,Empresas!$G$7:$G$119,"&gt;0")</x:f>
        <x:v>3</x:v>
      </x:c>
      <x:c r="E34" s="18" t="n">
        <x:f>IF(F34=0,"n.d.",MEDIAN(IF(SUMIFS(Empresas!$H$7:$H$119,Empresas!$B$7:$B$119,"ES0109067019")&gt;0,SUMIFS(Empresas!$H$7:$H$119,Empresas!$B$7:$B$119,"ES0109067019"),""),IF(SUMIFS(Empresas!$H$7:$H$119,Empresas!$B$7:$B$119,"ES0109260291")&gt;0,SUMIFS(Empresas!$H$7:$H$119,Empresas!$B$7:$B$119,"ES0109260291"),""),IF(SUMIFS(Empresas!$H$7:$H$119,Empresas!$B$7:$B$119,"ES0118594417")&gt;0,SUMIFS(Empresas!$H$7:$H$119,Empresas!$B$7:$B$119,"ES0118594417"),"")))</x:f>
        <x:v>11.8</x:v>
      </x:c>
      <x:c r="F34" s="17" t="n">
        <x:f>COUNTIFS(Empresas!$D$7:$D$119,A34,Empresas!$H$7:$H$119,"&gt;0")</x:f>
        <x:v>3</x:v>
      </x:c>
      <x:c r="G34" s="18" t="n">
        <x:f>IF(H34=0,"n.d.",MEDIAN(IF(SUMIFS(Empresas!$I$7:$I$119,Empresas!$B$7:$B$119,"ES0109067019")&gt;0,SUMIFS(Empresas!$I$7:$I$119,Empresas!$B$7:$B$119,"ES0109067019"),""),IF(SUMIFS(Empresas!$I$7:$I$119,Empresas!$B$7:$B$119,"ES0109260291")&gt;0,SUMIFS(Empresas!$I$7:$I$119,Empresas!$B$7:$B$119,"ES0109260291"),""),IF(SUMIFS(Empresas!$I$7:$I$119,Empresas!$B$7:$B$119,"ES0118594417")&gt;0,SUMIFS(Empresas!$I$7:$I$119,Empresas!$B$7:$B$119,"ES0118594417"),"")))</x:f>
        <x:v>1.67</x:v>
      </x:c>
      <x:c r="H34" s="17" t="n">
        <x:f>COUNTIFS(Empresas!$D$7:$D$119,A34,Empresas!$I$7:$I$119,"&gt;0")</x:f>
        <x:v>3</x:v>
      </x:c>
      <x:c r="I34" s="18" t="n">
        <x:f>IF(J34=0,"n.d.",MEDIAN(IF(SUMIFS(Empresas!$J$7:$J$119,Empresas!$B$7:$B$119,"ES0109067019")&gt;0,SUMIFS(Empresas!$J$7:$J$119,Empresas!$B$7:$B$119,"ES0109067019"),""),IF(SUMIFS(Empresas!$J$7:$J$119,Empresas!$B$7:$B$119,"ES0109260291")&gt;0,SUMIFS(Empresas!$J$7:$J$119,Empresas!$B$7:$B$119,"ES0109260291"),""),IF(SUMIFS(Empresas!$J$7:$J$119,Empresas!$B$7:$B$119,"ES0118594417")&gt;0,SUMIFS(Empresas!$J$7:$J$119,Empresas!$B$7:$B$119,"ES0118594417"),"")))</x:f>
        <x:v>5.25</x:v>
      </x:c>
      <x:c r="J34" s="17" t="n">
        <x:f>COUNTIFS(Empresas!$D$7:$D$119,A34,Empresas!$J$7:$J$119,"&gt;0")</x:f>
        <x:v>2</x:v>
      </x:c>
      <x:c r="K34" s="2"/>
      <x:c r="L34" s="2"/>
      <x:c r="M34" s="2"/>
      <x:c r="N34" s="2"/>
    </x:row>
    <x:row r="35" ht="30" customHeight="1">
      <x:c r="A35" s="8" t="str">
        <x:v>Telecomunicaciones y Otros</x:v>
      </x:c>
      <x:c r="B35" s="14" t="n">
        <x:f>COUNTIFS(Empresas!$D$7:$D$119,A35)</x:f>
        <x:v>6</x:v>
      </x:c>
      <x:c r="C35" s="15" t="n">
        <x:f>IF(D35=0,"n.d.",MEDIAN(IF(SUMIFS(Empresas!$G$7:$G$119,Empresas!$B$7:$B$119,"ES0105066007")&gt;0,SUMIFS(Empresas!$G$7:$G$119,Empresas!$B$7:$B$119,"ES0105066007"),""),IF(SUMIFS(Empresas!$G$7:$G$119,Empresas!$B$7:$B$119,"ES0106043005")&gt;0,SUMIFS(Empresas!$G$7:$G$119,Empresas!$B$7:$B$119,"ES0106043005"),""),IF(SUMIFS(Empresas!$G$7:$G$119,Empresas!$B$7:$B$119,"ES0105130001")&gt;0,SUMIFS(Empresas!$G$7:$G$119,Empresas!$B$7:$B$119,"ES0105130001"),""),IF(SUMIFS(Empresas!$G$7:$G$119,Empresas!$B$7:$B$119,"ES0172708234")&gt;0,SUMIFS(Empresas!$G$7:$G$119,Empresas!$B$7:$B$119,"ES0172708234"),""),IF(SUMIFS(Empresas!$G$7:$G$119,Empresas!$B$7:$B$119,"ES0105449005")&gt;0,SUMIFS(Empresas!$G$7:$G$119,Empresas!$B$7:$B$119,"ES0105449005"),""),IF(SUMIFS(Empresas!$G$7:$G$119,Empresas!$B$7:$B$119,"ES0178430E18")&gt;0,SUMIFS(Empresas!$G$7:$G$119,Empresas!$B$7:$B$119,"ES0178430E18"),"")))</x:f>
        <x:v>52.55</x:v>
      </x:c>
      <x:c r="D35" s="14" t="n">
        <x:f>COUNTIFS(Empresas!$D$7:$D$119,A35,Empresas!$G$7:$G$119,"&gt;0")</x:f>
        <x:v>2</x:v>
      </x:c>
      <x:c r="E35" s="15" t="n">
        <x:f>IF(F35=0,"n.d.",MEDIAN(IF(SUMIFS(Empresas!$H$7:$H$119,Empresas!$B$7:$B$119,"ES0105066007")&gt;0,SUMIFS(Empresas!$H$7:$H$119,Empresas!$B$7:$B$119,"ES0105066007"),""),IF(SUMIFS(Empresas!$H$7:$H$119,Empresas!$B$7:$B$119,"ES0106043005")&gt;0,SUMIFS(Empresas!$H$7:$H$119,Empresas!$B$7:$B$119,"ES0106043005"),""),IF(SUMIFS(Empresas!$H$7:$H$119,Empresas!$B$7:$B$119,"ES0105130001")&gt;0,SUMIFS(Empresas!$H$7:$H$119,Empresas!$B$7:$B$119,"ES0105130001"),""),IF(SUMIFS(Empresas!$H$7:$H$119,Empresas!$B$7:$B$119,"ES0172708234")&gt;0,SUMIFS(Empresas!$H$7:$H$119,Empresas!$B$7:$B$119,"ES0172708234"),""),IF(SUMIFS(Empresas!$H$7:$H$119,Empresas!$B$7:$B$119,"ES0105449005")&gt;0,SUMIFS(Empresas!$H$7:$H$119,Empresas!$B$7:$B$119,"ES0105449005"),""),IF(SUMIFS(Empresas!$H$7:$H$119,Empresas!$B$7:$B$119,"ES0178430E18")&gt;0,SUMIFS(Empresas!$H$7:$H$119,Empresas!$B$7:$B$119,"ES0178430E18"),"")))</x:f>
        <x:v>11.7</x:v>
      </x:c>
      <x:c r="F35" s="14" t="n">
        <x:f>COUNTIFS(Empresas!$D$7:$D$119,A35,Empresas!$H$7:$H$119,"&gt;0")</x:f>
        <x:v>5</x:v>
      </x:c>
      <x:c r="G35" s="15" t="n">
        <x:f>IF(H35=0,"n.d.",MEDIAN(IF(SUMIFS(Empresas!$I$7:$I$119,Empresas!$B$7:$B$119,"ES0105066007")&gt;0,SUMIFS(Empresas!$I$7:$I$119,Empresas!$B$7:$B$119,"ES0105066007"),""),IF(SUMIFS(Empresas!$I$7:$I$119,Empresas!$B$7:$B$119,"ES0106043005")&gt;0,SUMIFS(Empresas!$I$7:$I$119,Empresas!$B$7:$B$119,"ES0106043005"),""),IF(SUMIFS(Empresas!$I$7:$I$119,Empresas!$B$7:$B$119,"ES0105130001")&gt;0,SUMIFS(Empresas!$I$7:$I$119,Empresas!$B$7:$B$119,"ES0105130001"),""),IF(SUMIFS(Empresas!$I$7:$I$119,Empresas!$B$7:$B$119,"ES0172708234")&gt;0,SUMIFS(Empresas!$I$7:$I$119,Empresas!$B$7:$B$119,"ES0172708234"),""),IF(SUMIFS(Empresas!$I$7:$I$119,Empresas!$B$7:$B$119,"ES0105449005")&gt;0,SUMIFS(Empresas!$I$7:$I$119,Empresas!$B$7:$B$119,"ES0105449005"),""),IF(SUMIFS(Empresas!$I$7:$I$119,Empresas!$B$7:$B$119,"ES0178430E18")&gt;0,SUMIFS(Empresas!$I$7:$I$119,Empresas!$B$7:$B$119,"ES0178430E18"),"")))</x:f>
        <x:v>1.57</x:v>
      </x:c>
      <x:c r="H35" s="14" t="n">
        <x:f>COUNTIFS(Empresas!$D$7:$D$119,A35,Empresas!$I$7:$I$119,"&gt;0")</x:f>
        <x:v>5</x:v>
      </x:c>
      <x:c r="I35" s="15" t="n">
        <x:f>IF(J35=0,"n.d.",MEDIAN(IF(SUMIFS(Empresas!$J$7:$J$119,Empresas!$B$7:$B$119,"ES0105066007")&gt;0,SUMIFS(Empresas!$J$7:$J$119,Empresas!$B$7:$B$119,"ES0105066007"),""),IF(SUMIFS(Empresas!$J$7:$J$119,Empresas!$B$7:$B$119,"ES0106043005")&gt;0,SUMIFS(Empresas!$J$7:$J$119,Empresas!$B$7:$B$119,"ES0106043005"),""),IF(SUMIFS(Empresas!$J$7:$J$119,Empresas!$B$7:$B$119,"ES0105130001")&gt;0,SUMIFS(Empresas!$J$7:$J$119,Empresas!$B$7:$B$119,"ES0105130001"),""),IF(SUMIFS(Empresas!$J$7:$J$119,Empresas!$B$7:$B$119,"ES0172708234")&gt;0,SUMIFS(Empresas!$J$7:$J$119,Empresas!$B$7:$B$119,"ES0172708234"),""),IF(SUMIFS(Empresas!$J$7:$J$119,Empresas!$B$7:$B$119,"ES0105449005")&gt;0,SUMIFS(Empresas!$J$7:$J$119,Empresas!$B$7:$B$119,"ES0105449005"),""),IF(SUMIFS(Empresas!$J$7:$J$119,Empresas!$B$7:$B$119,"ES0178430E18")&gt;0,SUMIFS(Empresas!$J$7:$J$119,Empresas!$B$7:$B$119,"ES0178430E18"),"")))</x:f>
        <x:v>1.93</x:v>
      </x:c>
      <x:c r="J35" s="14" t="n">
        <x:f>COUNTIFS(Empresas!$D$7:$D$119,A35,Empresas!$J$7:$J$119,"&gt;0")</x:f>
        <x:v>5</x:v>
      </x:c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9C9D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9" hidden="0" customWidth="1"/>
    <x:col min="2" max="2" width="19" hidden="0" customWidth="1"/>
    <x:col min="3" max="3" width="32" hidden="0" customWidth="1"/>
    <x:col min="4" max="4" width="35" hidden="0" customWidth="1"/>
    <x:col min="5" max="5" width="15" hidden="0" customWidth="1"/>
    <x:col min="6" max="6" width="20" hidden="0" customWidth="1"/>
    <x:col min="7" max="7" width="15" hidden="0" customWidth="1"/>
    <x:col min="8" max="8" width="17" hidden="0" customWidth="1"/>
    <x:col min="9" max="9" width="16" hidden="0" customWidth="1"/>
    <x:col min="10" max="10" width="15" hidden="0" customWidth="1"/>
    <x:col min="11" max="11" width="25" hidden="0" customWidth="1"/>
    <x:col min="12" max="12" width="85" hidden="0" customWidth="1"/>
    <x:col min="13" max="13" width="3" hidden="0" customWidth="1"/>
    <x:col min="14" max="14" width="1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Múltiplos de empresas cotizadas en España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ISIN español. CAM excluida. 20/09/2026.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 t="str">
        <x:v>Universo y sectores: https://www.bolsasymercados.es/es/bme-exchange/mercados-y-cotizaciones/acciones/empresas-cotizadas.html</x:v>
      </x:c>
    </x:row>
    <x:row r="4">
      <x:c r="A4" s="2" t="str">
        <x:v>Columna 2025 de MarketScreener; no son múltiplos a cotización actual. n.d. = dato no disponible.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7" t="str">
        <x:v>Empresa</x:v>
      </x:c>
      <x:c r="B6" s="7" t="str">
        <x:v>ISIN</x:v>
      </x:c>
      <x:c r="C6" s="7" t="str">
        <x:v>Sector BME</x:v>
      </x:c>
      <x:c r="D6" s="7" t="str">
        <x:v>Subsector BME</x:v>
      </x:c>
      <x:c r="E6" s="7" t="str">
        <x:v>Cierre fiscal</x:v>
      </x:c>
      <x:c r="F6" s="7" t="str">
        <x:v>Publicación 2025</x:v>
      </x:c>
      <x:c r="G6" s="7" t="str">
        <x:v>PER 2025</x:v>
      </x:c>
      <x:c r="H6" s="7" t="str">
        <x:v>VE/EBITDA 2025</x:v>
      </x:c>
      <x:c r="I6" s="7" t="str">
        <x:v>VE/ventas 2025</x:v>
      </x:c>
      <x:c r="J6" s="7" t="str">
        <x:v>P/VC 2025</x:v>
      </x:c>
      <x:c r="K6" s="7" t="str">
        <x:v>Cobertura</x:v>
      </x:c>
      <x:c r="L6" s="7" t="str">
        <x:v>Observaciones</x:v>
      </x:c>
      <x:c r="M6" s="2"/>
      <x:c r="N6" s="5" t="str">
        <x:v>Fuente MarketScreener</x:v>
      </x:c>
    </x:row>
    <x:row r="7" ht="32" customHeight="1">
      <x:c r="A7" s="8" t="str">
        <x:v>BODEGAS RIOJANAS, S.A.</x:v>
      </x:c>
      <x:c r="B7" s="8" t="str">
        <x:v>ES0115002018</x:v>
      </x:c>
      <x:c r="C7" s="8" t="str">
        <x:v>Bienes de Consumo</x:v>
      </x:c>
      <x:c r="D7" s="8" t="str">
        <x:v>Alimentación y Bebidas</x:v>
      </x:c>
      <x:c r="E7" s="8" t="str">
        <x:v>Diciembre</x:v>
      </x:c>
      <x:c r="F7" s="12" t="str">
        <x:v>n.d.</x:v>
      </x:c>
      <x:c r="G7" s="11" t="str">
        <x:v>n.d.</x:v>
      </x:c>
      <x:c r="H7" s="11" t="str">
        <x:v>n.d.</x:v>
      </x:c>
      <x:c r="I7" s="11" t="str">
        <x:v>n.d.</x:v>
      </x:c>
      <x:c r="J7" s="11" t="str">
        <x:v>n.d.</x:v>
      </x:c>
      <x:c r="K7" s="2" t="str">
        <x:v>Sin columna 2025</x:v>
      </x:c>
      <x:c r="L7" s="2" t="str"/>
      <x:c r="M7" s="2"/>
      <x:c r="N7" s="2" t="str">
        <x:v>https://es.marketscreener.com/cotizacion/accion/BODEGAS-RIOJANAS-S-A-74109/valoracion/</x:v>
      </x:c>
    </x:row>
    <x:row r="8" ht="32" customHeight="1">
      <x:c r="A8" s="8" t="str">
        <x:v>DEOLEO, S.A.</x:v>
      </x:c>
      <x:c r="B8" s="8" t="str">
        <x:v>ES0110047919</x:v>
      </x:c>
      <x:c r="C8" s="8" t="str">
        <x:v>Bienes de Consumo</x:v>
      </x:c>
      <x:c r="D8" s="8" t="str">
        <x:v>Alimentación y Bebidas</x:v>
      </x:c>
      <x:c r="E8" s="8" t="str">
        <x:v>Diciembre</x:v>
      </x:c>
      <x:c r="F8" s="12" t="n">
        <x:v>46080</x:v>
      </x:c>
      <x:c r="G8" s="11" t="n">
        <x:v>6</x:v>
      </x:c>
      <x:c r="H8" s="11" t="n">
        <x:v>4.56</x:v>
      </x:c>
      <x:c r="I8" s="11" t="n">
        <x:v>0.28</x:v>
      </x:c>
      <x:c r="J8" s="11" t="str">
        <x:v>n.d.</x:v>
      </x:c>
      <x:c r="K8" s="2" t="str">
        <x:v>2025 localizado</x:v>
      </x:c>
      <x:c r="L8" s="2" t="str"/>
      <x:c r="M8" s="2"/>
      <x:c r="N8" s="2" t="str">
        <x:v>https://es.marketscreener.com/cotizacion/accion/DEOLEO-S-A-159781/valoracion/</x:v>
      </x:c>
    </x:row>
    <x:row r="9" ht="32" customHeight="1">
      <x:c r="A9" s="8" t="str">
        <x:v>EBRO FOODS, S.A.</x:v>
      </x:c>
      <x:c r="B9" s="8" t="str">
        <x:v>ES0112501012</x:v>
      </x:c>
      <x:c r="C9" s="8" t="str">
        <x:v>Bienes de Consumo</x:v>
      </x:c>
      <x:c r="D9" s="8" t="str">
        <x:v>Alimentación y Bebidas</x:v>
      </x:c>
      <x:c r="E9" s="8" t="str">
        <x:v>Diciembre</x:v>
      </x:c>
      <x:c r="F9" s="12" t="n">
        <x:v>46077</x:v>
      </x:c>
      <x:c r="G9" s="11" t="n">
        <x:v>13.2</x:v>
      </x:c>
      <x:c r="H9" s="11" t="n">
        <x:v>8</x:v>
      </x:c>
      <x:c r="I9" s="11" t="n">
        <x:v>1.12</x:v>
      </x:c>
      <x:c r="J9" s="11" t="n">
        <x:v>1.23</x:v>
      </x:c>
      <x:c r="K9" s="2" t="str">
        <x:v>2025 localizado</x:v>
      </x:c>
      <x:c r="L9" s="2" t="str"/>
      <x:c r="M9" s="2"/>
      <x:c r="N9" s="2" t="str">
        <x:v>https://es.marketscreener.com/cotizacion/accion/EBRO-FOODS-S-A-408703/valoracion/</x:v>
      </x:c>
    </x:row>
    <x:row r="10" ht="32" customHeight="1">
      <x:c r="A10" s="8" t="str">
        <x:v>NATURHOUSE HEALTH, S.A.</x:v>
      </x:c>
      <x:c r="B10" s="8" t="str">
        <x:v>ES0105043006</x:v>
      </x:c>
      <x:c r="C10" s="8" t="str">
        <x:v>Bienes de Consumo</x:v>
      </x:c>
      <x:c r="D10" s="8" t="str">
        <x:v>Alimentación y Bebidas</x:v>
      </x:c>
      <x:c r="E10" s="8" t="str">
        <x:v>Diciembre</x:v>
      </x:c>
      <x:c r="F10" s="12" t="n">
        <x:v>46103</x:v>
      </x:c>
      <x:c r="G10" s="11" t="n">
        <x:v>13.1</x:v>
      </x:c>
      <x:c r="H10" s="11" t="n">
        <x:v>8.96</x:v>
      </x:c>
      <x:c r="I10" s="11" t="n">
        <x:v>2.54</x:v>
      </x:c>
      <x:c r="J10" s="11" t="n">
        <x:v>7.43</x:v>
      </x:c>
      <x:c r="K10" s="2" t="str">
        <x:v>2025 localizado</x:v>
      </x:c>
      <x:c r="L10" s="2" t="str"/>
      <x:c r="M10" s="2"/>
      <x:c r="N10" s="2" t="str">
        <x:v>https://es.marketscreener.com/cotizacion/accion/NATURHOUSE-HEALTH-S-A-22033595/valoracion/</x:v>
      </x:c>
    </x:row>
    <x:row r="11" ht="32" customHeight="1">
      <x:c r="A11" s="8" t="str">
        <x:v>PESCANOVA, S.A.</x:v>
      </x:c>
      <x:c r="B11" s="8" t="str">
        <x:v>ES0169350016</x:v>
      </x:c>
      <x:c r="C11" s="8" t="str">
        <x:v>Bienes de Consumo</x:v>
      </x:c>
      <x:c r="D11" s="8" t="str">
        <x:v>Alimentación y Bebidas</x:v>
      </x:c>
      <x:c r="E11" s="8" t="str">
        <x:v>Noviembre</x:v>
      </x:c>
      <x:c r="F11" s="12" t="n">
        <x:v>46112</x:v>
      </x:c>
      <x:c r="G11" s="11" t="n">
        <x:v>-83.9</x:v>
      </x:c>
      <x:c r="H11" s="11" t="str">
        <x:v>n.d.</x:v>
      </x:c>
      <x:c r="I11" s="11" t="n">
        <x:v>32</x:v>
      </x:c>
      <x:c r="J11" s="11" t="n">
        <x:v>-1.27</x:v>
      </x:c>
      <x:c r="K11" s="2" t="str">
        <x:v>2025 localizado</x:v>
      </x:c>
      <x:c r="L11" s="2" t="str">
        <x:v>Cierre fiscal Noviembre. Múltiplos no positivos excluidos de medianas.</x:v>
      </x:c>
      <x:c r="M11" s="2"/>
      <x:c r="N11" s="2" t="str">
        <x:v>https://es.marketscreener.com/cotizacion/accion/PESCANOVA-S-A-74977/valoracion/</x:v>
      </x:c>
    </x:row>
    <x:row r="12" ht="32" customHeight="1">
      <x:c r="A12" s="8" t="str">
        <x:v>VISCOFAN, S.A.</x:v>
      </x:c>
      <x:c r="B12" s="8" t="str">
        <x:v>ES0184262212</x:v>
      </x:c>
      <x:c r="C12" s="8" t="str">
        <x:v>Bienes de Consumo</x:v>
      </x:c>
      <x:c r="D12" s="8" t="str">
        <x:v>Alimentación y Bebidas</x:v>
      </x:c>
      <x:c r="E12" s="8" t="str">
        <x:v>Diciembre</x:v>
      </x:c>
      <x:c r="F12" s="12" t="n">
        <x:v>46078</x:v>
      </x:c>
      <x:c r="G12" s="11" t="n">
        <x:v>15.2</x:v>
      </x:c>
      <x:c r="H12" s="11" t="n">
        <x:v>9.33</x:v>
      </x:c>
      <x:c r="I12" s="11" t="n">
        <x:v>2.16</x:v>
      </x:c>
      <x:c r="J12" s="11" t="n">
        <x:v>2.69</x:v>
      </x:c>
      <x:c r="K12" s="2" t="str">
        <x:v>2025 localizado</x:v>
      </x:c>
      <x:c r="L12" s="2" t="str"/>
      <x:c r="M12" s="2"/>
      <x:c r="N12" s="2" t="str">
        <x:v>https://es.marketscreener.com/cotizacion/accion/VISCOFAN-S-A-75245/valoracion/</x:v>
      </x:c>
    </x:row>
    <x:row r="13" ht="32" customHeight="1">
      <x:c r="A13" s="8" t="str">
        <x:v>VIDRALA S.A.</x:v>
      </x:c>
      <x:c r="B13" s="8" t="str">
        <x:v>ES0183746314</x:v>
      </x:c>
      <x:c r="C13" s="8" t="str">
        <x:v>Bienes de Consumo</x:v>
      </x:c>
      <x:c r="D13" s="8" t="str">
        <x:v>Otros Bienes de Consumo</x:v>
      </x:c>
      <x:c r="E13" s="8" t="str">
        <x:v>Diciembre</x:v>
      </x:c>
      <x:c r="F13" s="12" t="n">
        <x:v>46077</x:v>
      </x:c>
      <x:c r="G13" s="11" t="n">
        <x:v>15.1</x:v>
      </x:c>
      <x:c r="H13" s="11" t="n">
        <x:v>7.43</x:v>
      </x:c>
      <x:c r="I13" s="11" t="n">
        <x:v>2.23</x:v>
      </x:c>
      <x:c r="J13" s="11" t="n">
        <x:v>2.24</x:v>
      </x:c>
      <x:c r="K13" s="2" t="str">
        <x:v>2025 localizado</x:v>
      </x:c>
      <x:c r="L13" s="2" t="str"/>
      <x:c r="M13" s="2"/>
      <x:c r="N13" s="2" t="str">
        <x:v>https://es.marketscreener.com/cotizacion/accion/VIDRALA-S-A-75235/valoracion/</x:v>
      </x:c>
    </x:row>
    <x:row r="14" ht="32" customHeight="1">
      <x:c r="A14" s="8" t="str">
        <x:v>ENCE ENERGIA Y CELULOSA, S.A.</x:v>
      </x:c>
      <x:c r="B14" s="8" t="str">
        <x:v>ES0130625512</x:v>
      </x:c>
      <x:c r="C14" s="8" t="str">
        <x:v>Bienes de Consumo</x:v>
      </x:c>
      <x:c r="D14" s="8" t="str">
        <x:v>Papel y Artes Gráficas</x:v>
      </x:c>
      <x:c r="E14" s="8" t="str">
        <x:v>Diciembre</x:v>
      </x:c>
      <x:c r="F14" s="12" t="n">
        <x:v>46076</x:v>
      </x:c>
      <x:c r="G14" s="11" t="n">
        <x:v>-10.9</x:v>
      </x:c>
      <x:c r="H14" s="11" t="n">
        <x:v>18.1</x:v>
      </x:c>
      <x:c r="I14" s="11" t="n">
        <x:v>1.27</x:v>
      </x:c>
      <x:c r="J14" s="11" t="n">
        <x:v>1.22</x:v>
      </x:c>
      <x:c r="K14" s="2" t="str">
        <x:v>2025 localizado</x:v>
      </x:c>
      <x:c r="L14" s="2" t="str">
        <x:v>Múltiplos no positivos excluidos de medianas.</x:v>
      </x:c>
      <x:c r="M14" s="2"/>
      <x:c r="N14" s="2" t="str">
        <x:v>https://es.marketscreener.com/cotizacion/accion/ENCE-ENERG-A-Y-CELULOSA-S-254243/valoracion/</x:v>
      </x:c>
    </x:row>
    <x:row r="15" ht="32" customHeight="1">
      <x:c r="A15" s="8" t="str">
        <x:v>IBERPAPEL GESTION, S.A.</x:v>
      </x:c>
      <x:c r="B15" s="8" t="str">
        <x:v>ES0147561015</x:v>
      </x:c>
      <x:c r="C15" s="8" t="str">
        <x:v>Bienes de Consumo</x:v>
      </x:c>
      <x:c r="D15" s="8" t="str">
        <x:v>Papel y Artes Gráficas</x:v>
      </x:c>
      <x:c r="E15" s="8" t="str">
        <x:v>Diciembre</x:v>
      </x:c>
      <x:c r="F15" s="12" t="n">
        <x:v>46079</x:v>
      </x:c>
      <x:c r="G15" s="11" t="n">
        <x:v>35.7</x:v>
      </x:c>
      <x:c r="H15" s="11" t="n">
        <x:v>5.01</x:v>
      </x:c>
      <x:c r="I15" s="11" t="n">
        <x:v>0.47</x:v>
      </x:c>
      <x:c r="J15" s="11" t="n">
        <x:v>0.66</x:v>
      </x:c>
      <x:c r="K15" s="2" t="str">
        <x:v>2025 localizado</x:v>
      </x:c>
      <x:c r="L15" s="2" t="str"/>
      <x:c r="M15" s="2"/>
      <x:c r="N15" s="2" t="str">
        <x:v>https://es.marketscreener.com/cotizacion/accion/IBERPAPEL-GESTI-N-S-A-74510/valoracion/</x:v>
      </x:c>
    </x:row>
    <x:row r="16" ht="32" customHeight="1">
      <x:c r="A16" s="8" t="str">
        <x:v>MIQUEL Y COSTAS &amp; MIQUEL, S.A.</x:v>
      </x:c>
      <x:c r="B16" s="8" t="str">
        <x:v>ES0164180012</x:v>
      </x:c>
      <x:c r="C16" s="8" t="str">
        <x:v>Bienes de Consumo</x:v>
      </x:c>
      <x:c r="D16" s="8" t="str">
        <x:v>Papel y Artes Gráficas</x:v>
      </x:c>
      <x:c r="E16" s="8" t="str">
        <x:v>Diciembre</x:v>
      </x:c>
      <x:c r="F16" s="12" t="n">
        <x:v>46126</x:v>
      </x:c>
      <x:c r="G16" s="11" t="n">
        <x:v>12.1</x:v>
      </x:c>
      <x:c r="H16" s="11" t="n">
        <x:v>7.44</x:v>
      </x:c>
      <x:c r="I16" s="11" t="n">
        <x:v>1.77</x:v>
      </x:c>
      <x:c r="J16" s="11" t="n">
        <x:v>1.33</x:v>
      </x:c>
      <x:c r="K16" s="2" t="str">
        <x:v>2025 localizado</x:v>
      </x:c>
      <x:c r="L16" s="2" t="str"/>
      <x:c r="M16" s="2"/>
      <x:c r="N16" s="2" t="str">
        <x:v>https://es.marketscreener.com/cotizacion/accion/MIQUEL-Y-COSTAS-MIQUEL-S--74860/valoracion/</x:v>
      </x:c>
    </x:row>
    <x:row r="17" ht="32" customHeight="1">
      <x:c r="A17" s="8" t="str">
        <x:v>ALMIRALL, S.A.</x:v>
      </x:c>
      <x:c r="B17" s="8" t="str">
        <x:v>ES0157097017</x:v>
      </x:c>
      <x:c r="C17" s="8" t="str">
        <x:v>Bienes de Consumo</x:v>
      </x:c>
      <x:c r="D17" s="8" t="str">
        <x:v>Productos farmaceúticos y Biotecnología</x:v>
      </x:c>
      <x:c r="E17" s="8" t="str">
        <x:v>Diciembre</x:v>
      </x:c>
      <x:c r="F17" s="12" t="n">
        <x:v>46075</x:v>
      </x:c>
      <x:c r="G17" s="11" t="n">
        <x:v>58.4</x:v>
      </x:c>
      <x:c r="H17" s="11" t="n">
        <x:v>11.6</x:v>
      </x:c>
      <x:c r="I17" s="11" t="n">
        <x:v>2.44</x:v>
      </x:c>
      <x:c r="J17" s="11" t="n">
        <x:v>1.85</x:v>
      </x:c>
      <x:c r="K17" s="2" t="str">
        <x:v>2025 localizado</x:v>
      </x:c>
      <x:c r="L17" s="2" t="str"/>
      <x:c r="M17" s="2"/>
      <x:c r="N17" s="2" t="str">
        <x:v>https://es.marketscreener.com/cotizacion/accion/ALMIRALL-S-A-268048/valoracion/</x:v>
      </x:c>
    </x:row>
    <x:row r="18" ht="32" customHeight="1">
      <x:c r="A18" s="8" t="str">
        <x:v>ATRYS HEALTH, S.A.</x:v>
      </x:c>
      <x:c r="B18" s="8" t="str">
        <x:v>ES0105148003</x:v>
      </x:c>
      <x:c r="C18" s="8" t="str">
        <x:v>Bienes de Consumo</x:v>
      </x:c>
      <x:c r="D18" s="8" t="str">
        <x:v>Productos farmaceúticos y Biotecnología</x:v>
      </x:c>
      <x:c r="E18" s="8" t="str">
        <x:v>Diciembre</x:v>
      </x:c>
      <x:c r="F18" s="12" t="n">
        <x:v>46119</x:v>
      </x:c>
      <x:c r="G18" s="11" t="n">
        <x:v>-2.22</x:v>
      </x:c>
      <x:c r="H18" s="11" t="n">
        <x:v>15.8</x:v>
      </x:c>
      <x:c r="I18" s="11" t="n">
        <x:v>2.13</x:v>
      </x:c>
      <x:c r="J18" s="11" t="n">
        <x:v>1.46</x:v>
      </x:c>
      <x:c r="K18" s="2" t="str">
        <x:v>2025 localizado</x:v>
      </x:c>
      <x:c r="L18" s="2" t="str">
        <x:v>Múltiplos no positivos excluidos de medianas.</x:v>
      </x:c>
      <x:c r="M18" s="2"/>
      <x:c r="N18" s="2" t="str">
        <x:v>https://es.marketscreener.com/cotizacion/accion/ATRYS-HEALTH-S-A-111615051/valoracion/</x:v>
      </x:c>
    </x:row>
    <x:row r="19" ht="32" customHeight="1">
      <x:c r="A19" s="8" t="str">
        <x:v>FAES FARMA, S.A.</x:v>
      </x:c>
      <x:c r="B19" s="8" t="str">
        <x:v>ES0134950F36</x:v>
      </x:c>
      <x:c r="C19" s="8" t="str">
        <x:v>Bienes de Consumo</x:v>
      </x:c>
      <x:c r="D19" s="8" t="str">
        <x:v>Productos farmaceúticos y Biotecnología</x:v>
      </x:c>
      <x:c r="E19" s="8" t="str">
        <x:v>Diciembre</x:v>
      </x:c>
      <x:c r="F19" s="12" t="n">
        <x:v>46078</x:v>
      </x:c>
      <x:c r="G19" s="11" t="n">
        <x:v>20.6</x:v>
      </x:c>
      <x:c r="H19" s="11" t="n">
        <x:v>16.1</x:v>
      </x:c>
      <x:c r="I19" s="11" t="n">
        <x:v>3.11</x:v>
      </x:c>
      <x:c r="J19" s="11" t="n">
        <x:v>2.16</x:v>
      </x:c>
      <x:c r="K19" s="2" t="str">
        <x:v>2025 localizado</x:v>
      </x:c>
      <x:c r="L19" s="2" t="str"/>
      <x:c r="M19" s="2"/>
      <x:c r="N19" s="2" t="str">
        <x:v>https://es.marketscreener.com/cotizacion/accion/FAES-FARMA-S-A-224975/valoracion/</x:v>
      </x:c>
    </x:row>
    <x:row r="20" ht="32" customHeight="1">
      <x:c r="A20" s="8" t="str">
        <x:v>GRIFOLS, S.A.</x:v>
      </x:c>
      <x:c r="B20" s="8" t="str">
        <x:v>ES0171996087</x:v>
      </x:c>
      <x:c r="C20" s="8" t="str">
        <x:v>Bienes de Consumo</x:v>
      </x:c>
      <x:c r="D20" s="8" t="str">
        <x:v>Productos farmaceúticos y Biotecnología</x:v>
      </x:c>
      <x:c r="E20" s="8" t="str">
        <x:v>Diciembre</x:v>
      </x:c>
      <x:c r="F20" s="12" t="n">
        <x:v>46079</x:v>
      </x:c>
      <x:c r="G20" s="11" t="n">
        <x:v>18.1</x:v>
      </x:c>
      <x:c r="H20" s="11" t="n">
        <x:v>8.41</x:v>
      </x:c>
      <x:c r="I20" s="11" t="n">
        <x:v>2.04</x:v>
      </x:c>
      <x:c r="J20" s="11" t="n">
        <x:v>0.96</x:v>
      </x:c>
      <x:c r="K20" s="2" t="str">
        <x:v>2025 localizado</x:v>
      </x:c>
      <x:c r="L20" s="2" t="str"/>
      <x:c r="M20" s="2"/>
      <x:c r="N20" s="2" t="str">
        <x:v>https://es.marketscreener.com/cotizacion/accion/GRIFOLS-S-A-25530828/valoracion/</x:v>
      </x:c>
    </x:row>
    <x:row r="21" ht="32" customHeight="1">
      <x:c r="A21" s="8" t="str">
        <x:v>LABORATORIO REIG JOFRE, S.A.</x:v>
      </x:c>
      <x:c r="B21" s="8" t="str">
        <x:v>ES0165359029</x:v>
      </x:c>
      <x:c r="C21" s="8" t="str">
        <x:v>Bienes de Consumo</x:v>
      </x:c>
      <x:c r="D21" s="8" t="str">
        <x:v>Productos farmaceúticos y Biotecnología</x:v>
      </x:c>
      <x:c r="E21" s="8" t="str">
        <x:v>Diciembre</x:v>
      </x:c>
      <x:c r="F21" s="12" t="n">
        <x:v>46079</x:v>
      </x:c>
      <x:c r="G21" s="11" t="n">
        <x:v>42.8</x:v>
      </x:c>
      <x:c r="H21" s="11" t="n">
        <x:v>10</x:v>
      </x:c>
      <x:c r="I21" s="11" t="n">
        <x:v>0.88</x:v>
      </x:c>
      <x:c r="J21" s="11" t="str">
        <x:v>n.d.</x:v>
      </x:c>
      <x:c r="K21" s="2" t="str">
        <x:v>2025 localizado</x:v>
      </x:c>
      <x:c r="L21" s="2" t="str"/>
      <x:c r="M21" s="2"/>
      <x:c r="N21" s="2" t="str">
        <x:v>https://es.marketscreener.com/cotizacion/accion/LABORATORIO-REIG-JOFRE-S--24301125/valoracion/</x:v>
      </x:c>
    </x:row>
    <x:row r="22" ht="32" customHeight="1">
      <x:c r="A22" s="8" t="str">
        <x:v>LABORATORIOS FARMACEUTICOS ROVI, S.A.</x:v>
      </x:c>
      <x:c r="B22" s="8" t="str">
        <x:v>ES0157261019</x:v>
      </x:c>
      <x:c r="C22" s="8" t="str">
        <x:v>Bienes de Consumo</x:v>
      </x:c>
      <x:c r="D22" s="8" t="str">
        <x:v>Productos farmaceúticos y Biotecnología</x:v>
      </x:c>
      <x:c r="E22" s="8" t="str">
        <x:v>Diciembre</x:v>
      </x:c>
      <x:c r="F22" s="12" t="n">
        <x:v>46077</x:v>
      </x:c>
      <x:c r="G22" s="11" t="n">
        <x:v>23.1</x:v>
      </x:c>
      <x:c r="H22" s="11" t="n">
        <x:v>15.1</x:v>
      </x:c>
      <x:c r="I22" s="11" t="n">
        <x:v>4.4</x:v>
      </x:c>
      <x:c r="J22" s="11" t="n">
        <x:v>4.89</x:v>
      </x:c>
      <x:c r="K22" s="2" t="str">
        <x:v>2025 localizado</x:v>
      </x:c>
      <x:c r="L22" s="2" t="str"/>
      <x:c r="M22" s="2"/>
      <x:c r="N22" s="2" t="str">
        <x:v>https://es.marketscreener.com/cotizacion/accion/LABORATORIOS-FARMACEUTICO-388853/valoracion/</x:v>
      </x:c>
    </x:row>
    <x:row r="23" ht="32" customHeight="1">
      <x:c r="A23" s="8" t="str">
        <x:v>ORYZON GENOMICS, S.A.</x:v>
      </x:c>
      <x:c r="B23" s="8" t="str">
        <x:v>ES0167733015</x:v>
      </x:c>
      <x:c r="C23" s="8" t="str">
        <x:v>Bienes de Consumo</x:v>
      </x:c>
      <x:c r="D23" s="8" t="str">
        <x:v>Productos farmaceúticos y Biotecnología</x:v>
      </x:c>
      <x:c r="E23" s="8" t="str">
        <x:v>Diciembre</x:v>
      </x:c>
      <x:c r="F23" s="12" t="n">
        <x:v>46079</x:v>
      </x:c>
      <x:c r="G23" s="11" t="n">
        <x:v>-91.9</x:v>
      </x:c>
      <x:c r="H23" s="11" t="n">
        <x:v>-42.9</x:v>
      </x:c>
      <x:c r="I23" s="11" t="str">
        <x:v>n.d.</x:v>
      </x:c>
      <x:c r="J23" s="11" t="str">
        <x:v>n.d.</x:v>
      </x:c>
      <x:c r="K23" s="2" t="str">
        <x:v>2025 localizado</x:v>
      </x:c>
      <x:c r="L23" s="2" t="str">
        <x:v>Múltiplos no positivos excluidos de medianas.</x:v>
      </x:c>
      <x:c r="M23" s="2"/>
      <x:c r="N23" s="2" t="str">
        <x:v>https://es.marketscreener.com/cotizacion/accion/ORYZON-GENOMICS-S-A-25531377/valoracion/</x:v>
      </x:c>
    </x:row>
    <x:row r="24" ht="32" customHeight="1">
      <x:c r="A24" s="8" t="str">
        <x:v>PHARMA MAR, S.A.</x:v>
      </x:c>
      <x:c r="B24" s="8" t="str">
        <x:v>ES0169501022</x:v>
      </x:c>
      <x:c r="C24" s="8" t="str">
        <x:v>Bienes de Consumo</x:v>
      </x:c>
      <x:c r="D24" s="8" t="str">
        <x:v>Productos farmaceúticos y Biotecnología</x:v>
      </x:c>
      <x:c r="E24" s="8" t="str">
        <x:v>Diciembre</x:v>
      </x:c>
      <x:c r="F24" s="12" t="n">
        <x:v>46079</x:v>
      </x:c>
      <x:c r="G24" s="11" t="n">
        <x:v>17.4</x:v>
      </x:c>
      <x:c r="H24" s="11" t="n">
        <x:v>17</x:v>
      </x:c>
      <x:c r="I24" s="11" t="n">
        <x:v>5.27</x:v>
      </x:c>
      <x:c r="J24" s="11" t="n">
        <x:v>5.16</x:v>
      </x:c>
      <x:c r="K24" s="2" t="str">
        <x:v>2025 localizado</x:v>
      </x:c>
      <x:c r="L24" s="2" t="str"/>
      <x:c r="M24" s="2"/>
      <x:c r="N24" s="2" t="str">
        <x:v>https://es.marketscreener.com/cotizacion/accion/PHARMA-MAR-S-A-24798227/valoracion/</x:v>
      </x:c>
    </x:row>
    <x:row r="25" ht="32" customHeight="1">
      <x:c r="A25" s="8" t="str">
        <x:v>PRIM, S.A.</x:v>
      </x:c>
      <x:c r="B25" s="8" t="str">
        <x:v>ES0170884417</x:v>
      </x:c>
      <x:c r="C25" s="8" t="str">
        <x:v>Bienes de Consumo</x:v>
      </x:c>
      <x:c r="D25" s="8" t="str">
        <x:v>Productos farmaceúticos y Biotecnología</x:v>
      </x:c>
      <x:c r="E25" s="8" t="str">
        <x:v>Diciembre</x:v>
      </x:c>
      <x:c r="F25" s="12" t="n">
        <x:v>46107</x:v>
      </x:c>
      <x:c r="G25" s="11" t="n">
        <x:v>13.5</x:v>
      </x:c>
      <x:c r="H25" s="11" t="n">
        <x:v>6.41</x:v>
      </x:c>
      <x:c r="I25" s="11" t="n">
        <x:v>0.86</x:v>
      </x:c>
      <x:c r="J25" s="11" t="n">
        <x:v>1.63</x:v>
      </x:c>
      <x:c r="K25" s="2" t="str">
        <x:v>2025 localizado</x:v>
      </x:c>
      <x:c r="L25" s="2" t="str"/>
      <x:c r="M25" s="2"/>
      <x:c r="N25" s="2" t="str">
        <x:v>https://es.marketscreener.com/cotizacion/accion/PRIM-S-A-170839/valoracion/</x:v>
      </x:c>
    </x:row>
    <x:row r="26" ht="32" customHeight="1">
      <x:c r="A26" s="8" t="str">
        <x:v>ADOLFO DOMINGUEZ, S.A.</x:v>
      </x:c>
      <x:c r="B26" s="8" t="str">
        <x:v>ES0106000013</x:v>
      </x:c>
      <x:c r="C26" s="8" t="str">
        <x:v>Bienes de Consumo</x:v>
      </x:c>
      <x:c r="D26" s="8" t="str">
        <x:v>Textil, Calzado, Cosmética y Fragancias</x:v>
      </x:c>
      <x:c r="E26" s="8" t="str">
        <x:v>Febrero</x:v>
      </x:c>
      <x:c r="F26" s="12" t="n">
        <x:v>45784</x:v>
      </x:c>
      <x:c r="G26" s="11" t="n">
        <x:v>49.9</x:v>
      </x:c>
      <x:c r="H26" s="11" t="n">
        <x:v>2.91</x:v>
      </x:c>
      <x:c r="I26" s="11" t="n">
        <x:v>0.38</x:v>
      </x:c>
      <x:c r="J26" s="11" t="str">
        <x:v>n.d.</x:v>
      </x:c>
      <x:c r="K26" s="2" t="str">
        <x:v>2025 localizado</x:v>
      </x:c>
      <x:c r="L26" s="2" t="str">
        <x:v>Cierre fiscal Febrero.</x:v>
      </x:c>
      <x:c r="M26" s="2"/>
      <x:c r="N26" s="2" t="str">
        <x:v>https://es.marketscreener.com/cotizacion/accion/ADOLFO-DOM-NGUEZ-S-A-408469/valoracion/</x:v>
      </x:c>
    </x:row>
    <x:row r="27" ht="32" customHeight="1">
      <x:c r="A27" s="8" t="str">
        <x:v>INDUSTRIA DE DISEÑO TEXTIL, SA "INDITEX"</x:v>
      </x:c>
      <x:c r="B27" s="8" t="str">
        <x:v>ES0148396007</x:v>
      </x:c>
      <x:c r="C27" s="8" t="str">
        <x:v>Bienes de Consumo</x:v>
      </x:c>
      <x:c r="D27" s="8" t="str">
        <x:v>Textil, Calzado, Cosmética y Fragancias</x:v>
      </x:c>
      <x:c r="E27" s="8" t="str">
        <x:v>Enero</x:v>
      </x:c>
      <x:c r="F27" s="12" t="n">
        <x:v>45728</x:v>
      </x:c>
      <x:c r="G27" s="11" t="n">
        <x:v>28</x:v>
      </x:c>
      <x:c r="H27" s="11" t="n">
        <x:v>14.2</x:v>
      </x:c>
      <x:c r="I27" s="11" t="n">
        <x:v>3.95</x:v>
      </x:c>
      <x:c r="J27" s="11" t="n">
        <x:v>8.34</x:v>
      </x:c>
      <x:c r="K27" s="2" t="str">
        <x:v>2025 localizado</x:v>
      </x:c>
      <x:c r="L27" s="2" t="str">
        <x:v>Cierre fiscal Enero.</x:v>
      </x:c>
      <x:c r="M27" s="2"/>
      <x:c r="N27" s="2" t="str">
        <x:v>https://es.marketscreener.com/cotizacion/accion/INDITEX-16943135/valoracion/</x:v>
      </x:c>
    </x:row>
    <x:row r="28" ht="32" customHeight="1">
      <x:c r="A28" s="8" t="str">
        <x:v>NUEVA EXPRESION TEXTIL, S.A.</x:v>
      </x:c>
      <x:c r="B28" s="8" t="str">
        <x:v>ES0126962069</x:v>
      </x:c>
      <x:c r="C28" s="8" t="str">
        <x:v>Bienes de Consumo</x:v>
      </x:c>
      <x:c r="D28" s="8" t="str">
        <x:v>Textil, Calzado, Cosmética y Fragancias</x:v>
      </x:c>
      <x:c r="E28" s="8" t="str">
        <x:v>Diciembre</x:v>
      </x:c>
      <x:c r="F28" s="12" t="n">
        <x:v>46077</x:v>
      </x:c>
      <x:c r="G28" s="11" t="n">
        <x:v>92</x:v>
      </x:c>
      <x:c r="H28" s="11" t="str">
        <x:v>n.d.</x:v>
      </x:c>
      <x:c r="I28" s="11" t="str">
        <x:v>n.d.</x:v>
      </x:c>
      <x:c r="J28" s="11" t="str">
        <x:v>n.d.</x:v>
      </x:c>
      <x:c r="K28" s="2" t="str">
        <x:v>2025 localizado</x:v>
      </x:c>
      <x:c r="L28" s="2" t="str"/>
      <x:c r="M28" s="2"/>
      <x:c r="N28" s="2" t="str">
        <x:v>https://es.marketscreener.com/cotizacion/accion/NUEVA-EXPRESI-N-TEXTIL-S--45184179/valoracion/</x:v>
      </x:c>
    </x:row>
    <x:row r="29" ht="32" customHeight="1">
      <x:c r="A29" s="8" t="str">
        <x:v>PUIG BRANDS, S.A. CLASE B</x:v>
      </x:c>
      <x:c r="B29" s="8" t="str">
        <x:v>ES0105777017</x:v>
      </x:c>
      <x:c r="C29" s="8" t="str">
        <x:v>Bienes de Consumo</x:v>
      </x:c>
      <x:c r="D29" s="8" t="str">
        <x:v>Textil, Calzado, Cosmética y Fragancias</x:v>
      </x:c>
      <x:c r="E29" s="8" t="str">
        <x:v>Diciembre</x:v>
      </x:c>
      <x:c r="F29" s="12" t="n">
        <x:v>46070</x:v>
      </x:c>
      <x:c r="G29" s="11" t="n">
        <x:v>14.2</x:v>
      </x:c>
      <x:c r="H29" s="11" t="n">
        <x:v>8.32</x:v>
      </x:c>
      <x:c r="I29" s="11" t="n">
        <x:v>1.72</x:v>
      </x:c>
      <x:c r="J29" s="11" t="n">
        <x:v>2.15</x:v>
      </x:c>
      <x:c r="K29" s="2" t="str">
        <x:v>2025 localizado</x:v>
      </x:c>
      <x:c r="L29" s="2" t="str"/>
      <x:c r="M29" s="2"/>
      <x:c r="N29" s="2" t="str">
        <x:v>https://es.marketscreener.com/cotizacion/accion/PUIG-BRANDS-SA-169390759/valoracion/</x:v>
      </x:c>
    </x:row>
    <x:row r="30" ht="32" customHeight="1">
      <x:c r="A30" s="8" t="str">
        <x:v>ACCIONA,S.A.</x:v>
      </x:c>
      <x:c r="B30" s="8" t="str">
        <x:v>ES0125220311</x:v>
      </x:c>
      <x:c r="C30" s="8" t="str">
        <x:v>Mat.Basicos, Industria y Construcción</x:v>
      </x:c>
      <x:c r="D30" s="8" t="str">
        <x:v>Construcción</x:v>
      </x:c>
      <x:c r="E30" s="8" t="str">
        <x:v>Diciembre</x:v>
      </x:c>
      <x:c r="F30" s="12" t="n">
        <x:v>46078</x:v>
      </x:c>
      <x:c r="G30" s="11" t="n">
        <x:v>12.6</x:v>
      </x:c>
      <x:c r="H30" s="11" t="n">
        <x:v>5.33</x:v>
      </x:c>
      <x:c r="I30" s="11" t="n">
        <x:v>0.85</x:v>
      </x:c>
      <x:c r="J30" s="11" t="n">
        <x:v>2.17</x:v>
      </x:c>
      <x:c r="K30" s="2" t="str">
        <x:v>2025 localizado</x:v>
      </x:c>
      <x:c r="L30" s="2" t="str"/>
      <x:c r="M30" s="2"/>
      <x:c r="N30" s="2" t="str">
        <x:v>https://es.marketscreener.com/cotizacion/accion/ACCIONA-S-A-69450/valoracion/</x:v>
      </x:c>
    </x:row>
    <x:row r="31" ht="32" customHeight="1">
      <x:c r="A31" s="8" t="str">
        <x:v>ACS,ACTIVIDADES DE CONST.Y SERVICIOS S.A</x:v>
      </x:c>
      <x:c r="B31" s="8" t="str">
        <x:v>ES0167050915</x:v>
      </x:c>
      <x:c r="C31" s="8" t="str">
        <x:v>Mat.Basicos, Industria y Construcción</x:v>
      </x:c>
      <x:c r="D31" s="8" t="str">
        <x:v>Construcción</x:v>
      </x:c>
      <x:c r="E31" s="8" t="str">
        <x:v>Diciembre</x:v>
      </x:c>
      <x:c r="F31" s="12" t="n">
        <x:v>46077</x:v>
      </x:c>
      <x:c r="G31" s="11" t="n">
        <x:v>23</x:v>
      </x:c>
      <x:c r="H31" s="11" t="n">
        <x:v>7.06</x:v>
      </x:c>
      <x:c r="I31" s="11" t="n">
        <x:v>0.43</x:v>
      </x:c>
      <x:c r="J31" s="11" t="n">
        <x:v>4.58</x:v>
      </x:c>
      <x:c r="K31" s="2" t="str">
        <x:v>2025 localizado</x:v>
      </x:c>
      <x:c r="L31" s="2" t="str"/>
      <x:c r="M31" s="2"/>
      <x:c r="N31" s="2" t="str">
        <x:v>https://es.marketscreener.com/cotizacion/accion/ACS-ACTIVIDADES-DE-CONSTR-140640/valoracion/</x:v>
      </x:c>
    </x:row>
    <x:row r="32" ht="32" customHeight="1">
      <x:c r="A32" s="8" t="str">
        <x:v>CIA.LEVANTINA, EDIFICACION DE O.PUBLICAS</x:v>
      </x:c>
      <x:c r="B32" s="8" t="str">
        <x:v>ES0158300410</x:v>
      </x:c>
      <x:c r="C32" s="8" t="str">
        <x:v>Mat.Basicos, Industria y Construcción</x:v>
      </x:c>
      <x:c r="D32" s="8" t="str">
        <x:v>Construcción</x:v>
      </x:c>
      <x:c r="E32" s="8" t="str">
        <x:v>Diciembre</x:v>
      </x:c>
      <x:c r="F32" s="12" t="n">
        <x:v>46141</x:v>
      </x:c>
      <x:c r="G32" s="11" t="n">
        <x:v>14</x:v>
      </x:c>
      <x:c r="H32" s="11" t="n">
        <x:v>17.2</x:v>
      </x:c>
      <x:c r="I32" s="11" t="n">
        <x:v>1.52</x:v>
      </x:c>
      <x:c r="J32" s="11" t="n">
        <x:v>0.56</x:v>
      </x:c>
      <x:c r="K32" s="2" t="str">
        <x:v>2025 localizado</x:v>
      </x:c>
      <x:c r="L32" s="2" t="str"/>
      <x:c r="M32" s="2"/>
      <x:c r="N32" s="2" t="str">
        <x:v>https://es.marketscreener.com/cotizacion/accion/COMPA-IA-LEVANTINA-DE-EDI-195674/valoracion/</x:v>
      </x:c>
    </x:row>
    <x:row r="33" ht="32" customHeight="1">
      <x:c r="A33" s="8" t="str">
        <x:v>FOMENTO DE CONSTR. Y CONTRATAS S.A.</x:v>
      </x:c>
      <x:c r="B33" s="8" t="str">
        <x:v>ES0122060314</x:v>
      </x:c>
      <x:c r="C33" s="8" t="str">
        <x:v>Mat.Basicos, Industria y Construcción</x:v>
      </x:c>
      <x:c r="D33" s="8" t="str">
        <x:v>Construcción</x:v>
      </x:c>
      <x:c r="E33" s="8" t="str">
        <x:v>Diciembre</x:v>
      </x:c>
      <x:c r="F33" s="12" t="n">
        <x:v>46079</x:v>
      </x:c>
      <x:c r="G33" s="11" t="n">
        <x:v>31.5</x:v>
      </x:c>
      <x:c r="H33" s="11" t="n">
        <x:v>5.23</x:v>
      </x:c>
      <x:c r="I33" s="11" t="n">
        <x:v>0.76</x:v>
      </x:c>
      <x:c r="J33" s="11" t="str">
        <x:v>n.d.</x:v>
      </x:c>
      <x:c r="K33" s="2" t="str">
        <x:v>2025 localizado</x:v>
      </x:c>
      <x:c r="L33" s="2" t="str"/>
      <x:c r="M33" s="2"/>
      <x:c r="N33" s="2" t="str">
        <x:v>https://es.marketscreener.com/cotizacion/accion/FOMENTO-DE-CONSTRUCCIONES-74234/valoracion/</x:v>
      </x:c>
    </x:row>
    <x:row r="34" ht="32" customHeight="1">
      <x:c r="A34" s="8" t="str">
        <x:v>GRUPO EMPRESARIAL SAN JOSE, S.A.</x:v>
      </x:c>
      <x:c r="B34" s="8" t="str">
        <x:v>ES0180918015</x:v>
      </x:c>
      <x:c r="C34" s="8" t="str">
        <x:v>Mat.Basicos, Industria y Construcción</x:v>
      </x:c>
      <x:c r="D34" s="8" t="str">
        <x:v>Construcción</x:v>
      </x:c>
      <x:c r="E34" s="8" t="str">
        <x:v>Diciembre</x:v>
      </x:c>
      <x:c r="F34" s="12" t="n">
        <x:v>46079</x:v>
      </x:c>
      <x:c r="G34" s="11" t="n">
        <x:v>12.3</x:v>
      </x:c>
      <x:c r="H34" s="11" t="n">
        <x:v>-0.16</x:v>
      </x:c>
      <x:c r="I34" s="11" t="n">
        <x:v>-0.01</x:v>
      </x:c>
      <x:c r="J34" s="11" t="str">
        <x:v>n.d.</x:v>
      </x:c>
      <x:c r="K34" s="2" t="str">
        <x:v>2025 localizado</x:v>
      </x:c>
      <x:c r="L34" s="2" t="str">
        <x:v>Múltiplos no positivos excluidos de medianas.</x:v>
      </x:c>
      <x:c r="M34" s="2"/>
      <x:c r="N34" s="2" t="str">
        <x:v>https://es.marketscreener.com/cotizacion/accion/GRUPO-EMPRESARIAL-SAN-JOS-5401116/valoracion/</x:v>
      </x:c>
    </x:row>
    <x:row r="35" ht="32" customHeight="1">
      <x:c r="A35" s="8" t="str">
        <x:v>OBRASCON HUARTE LAIN, S.A.</x:v>
      </x:c>
      <x:c r="B35" s="8" t="str">
        <x:v>ES0142090317</x:v>
      </x:c>
      <x:c r="C35" s="8" t="str">
        <x:v>Mat.Basicos, Industria y Construcción</x:v>
      </x:c>
      <x:c r="D35" s="8" t="str">
        <x:v>Construcción</x:v>
      </x:c>
      <x:c r="E35" s="8" t="str">
        <x:v>Diciembre</x:v>
      </x:c>
      <x:c r="F35" s="12" t="n">
        <x:v>46079</x:v>
      </x:c>
      <x:c r="G35" s="11" t="str">
        <x:v>n.d.</x:v>
      </x:c>
      <x:c r="H35" s="11" t="n">
        <x:v>0</x:v>
      </x:c>
      <x:c r="I35" s="11" t="n">
        <x:v>0</x:v>
      </x:c>
      <x:c r="J35" s="11" t="str">
        <x:v>n.d.</x:v>
      </x:c>
      <x:c r="K35" s="2" t="str">
        <x:v>2025 localizado</x:v>
      </x:c>
      <x:c r="L35" s="2" t="str">
        <x:v>Múltiplos no positivos excluidos de medianas.</x:v>
      </x:c>
      <x:c r="M35" s="2"/>
      <x:c r="N35" s="2" t="str">
        <x:v>https://es.marketscreener.com/cotizacion/accion/OBRASC-N-HUARTE-LAIN-S-A-69862/valoracion/</x:v>
      </x:c>
    </x:row>
    <x:row r="36" ht="32" customHeight="1">
      <x:c r="A36" s="8" t="str">
        <x:v>SACYR, S.A.</x:v>
      </x:c>
      <x:c r="B36" s="8" t="str">
        <x:v>ES0182870214</x:v>
      </x:c>
      <x:c r="C36" s="8" t="str">
        <x:v>Mat.Basicos, Industria y Construcción</x:v>
      </x:c>
      <x:c r="D36" s="8" t="str">
        <x:v>Construcción</x:v>
      </x:c>
      <x:c r="E36" s="8" t="str">
        <x:v>Diciembre</x:v>
      </x:c>
      <x:c r="F36" s="12" t="n">
        <x:v>46079</x:v>
      </x:c>
      <x:c r="G36" s="11" t="n">
        <x:v>35.1</x:v>
      </x:c>
      <x:c r="H36" s="11" t="n">
        <x:v>6.94</x:v>
      </x:c>
      <x:c r="I36" s="11" t="n">
        <x:v>2.02</x:v>
      </x:c>
      <x:c r="J36" s="11" t="n">
        <x:v>2.96</x:v>
      </x:c>
      <x:c r="K36" s="2" t="str">
        <x:v>2025 localizado</x:v>
      </x:c>
      <x:c r="L36" s="2" t="str"/>
      <x:c r="M36" s="2"/>
      <x:c r="N36" s="2" t="str">
        <x:v>https://es.marketscreener.com/cotizacion/accion/SACYR-S-A-69101/valoracion/</x:v>
      </x:c>
    </x:row>
    <x:row r="37" ht="32" customHeight="1">
      <x:c r="A37" s="8" t="str">
        <x:v>ARTECHE</x:v>
      </x:c>
      <x:c r="B37" s="8" t="str">
        <x:v>ES0105521001</x:v>
      </x:c>
      <x:c r="C37" s="8" t="str">
        <x:v>Mat.Basicos, Industria y Construcción</x:v>
      </x:c>
      <x:c r="D37" s="8" t="str">
        <x:v>Fabric. y Montaje Bienes de Equipo</x:v>
      </x:c>
      <x:c r="E37" s="8" t="str">
        <x:v>Diciembre</x:v>
      </x:c>
      <x:c r="F37" s="12" t="n">
        <x:v>46079</x:v>
      </x:c>
      <x:c r="G37" s="11" t="n">
        <x:v>28.6</x:v>
      </x:c>
      <x:c r="H37" s="11" t="n">
        <x:v>16.6</x:v>
      </x:c>
      <x:c r="I37" s="11" t="n">
        <x:v>2.59</x:v>
      </x:c>
      <x:c r="J37" s="11" t="n">
        <x:v>11.5</x:v>
      </x:c>
      <x:c r="K37" s="2" t="str">
        <x:v>2025 localizado</x:v>
      </x:c>
      <x:c r="L37" s="2" t="str"/>
      <x:c r="M37" s="2"/>
      <x:c r="N37" s="2" t="str">
        <x:v>https://es.marketscreener.com/cotizacion/accion/ARTECHE-LANTEGI-ELKARTEA--123776304/valoracion/</x:v>
      </x:c>
    </x:row>
    <x:row r="38" ht="32" customHeight="1">
      <x:c r="A38" s="8" t="str">
        <x:v>AZKOYEN S.A.</x:v>
      </x:c>
      <x:c r="B38" s="8" t="str">
        <x:v>ES0112458312</x:v>
      </x:c>
      <x:c r="C38" s="8" t="str">
        <x:v>Mat.Basicos, Industria y Construcción</x:v>
      </x:c>
      <x:c r="D38" s="8" t="str">
        <x:v>Fabric. y Montaje Bienes de Equipo</x:v>
      </x:c>
      <x:c r="E38" s="8" t="str">
        <x:v>Diciembre</x:v>
      </x:c>
      <x:c r="F38" s="12" t="n">
        <x:v>46079</x:v>
      </x:c>
      <x:c r="G38" s="11" t="n">
        <x:v>12.2</x:v>
      </x:c>
      <x:c r="H38" s="11" t="n">
        <x:v>6.5</x:v>
      </x:c>
      <x:c r="I38" s="11" t="n">
        <x:v>1</x:v>
      </x:c>
      <x:c r="J38" s="11" t="n">
        <x:v>1.59</x:v>
      </x:c>
      <x:c r="K38" s="2" t="str">
        <x:v>2025 localizado</x:v>
      </x:c>
      <x:c r="L38" s="2" t="str"/>
      <x:c r="M38" s="2"/>
      <x:c r="N38" s="2" t="str">
        <x:v>https://es.marketscreener.com/cotizacion/accion/AZKOYEN-S-A-74052/valoracion/</x:v>
      </x:c>
    </x:row>
    <x:row r="39" ht="32" customHeight="1">
      <x:c r="A39" s="8" t="str">
        <x:v>CONSTRUCC. Y AUX. DE FERROCARRILES, S.A.</x:v>
      </x:c>
      <x:c r="B39" s="8" t="str">
        <x:v>ES0121975009</x:v>
      </x:c>
      <x:c r="C39" s="8" t="str">
        <x:v>Mat.Basicos, Industria y Construcción</x:v>
      </x:c>
      <x:c r="D39" s="8" t="str">
        <x:v>Fabric. y Montaje Bienes de Equipo</x:v>
      </x:c>
      <x:c r="E39" s="8" t="str">
        <x:v>Diciembre</x:v>
      </x:c>
      <x:c r="F39" s="12" t="n">
        <x:v>46079</x:v>
      </x:c>
      <x:c r="G39" s="11" t="n">
        <x:v>13.8</x:v>
      </x:c>
      <x:c r="H39" s="11" t="n">
        <x:v>6.25</x:v>
      </x:c>
      <x:c r="I39" s="11" t="n">
        <x:v>0.49</x:v>
      </x:c>
      <x:c r="J39" s="11" t="n">
        <x:v>2.06</x:v>
      </x:c>
      <x:c r="K39" s="2" t="str">
        <x:v>2025 localizado</x:v>
      </x:c>
      <x:c r="L39" s="2" t="str"/>
      <x:c r="M39" s="2"/>
      <x:c r="N39" s="2" t="str">
        <x:v>https://es.marketscreener.com/cotizacion/accion/CONSTRUCCIONES-Y-AUXILIAR-32078325/valoracion/</x:v>
      </x:c>
    </x:row>
    <x:row r="40" ht="32" customHeight="1">
      <x:c r="A40" s="8" t="str">
        <x:v>ELECNOR S. A.</x:v>
      </x:c>
      <x:c r="B40" s="8" t="str">
        <x:v>ES0129743318</x:v>
      </x:c>
      <x:c r="C40" s="8" t="str">
        <x:v>Mat.Basicos, Industria y Construcción</x:v>
      </x:c>
      <x:c r="D40" s="8" t="str">
        <x:v>Fabric. y Montaje Bienes de Equipo</x:v>
      </x:c>
      <x:c r="E40" s="8" t="str">
        <x:v>Diciembre</x:v>
      </x:c>
      <x:c r="F40" s="12" t="n">
        <x:v>46078</x:v>
      </x:c>
      <x:c r="G40" s="11" t="n">
        <x:v>18.7</x:v>
      </x:c>
      <x:c r="H40" s="11" t="n">
        <x:v>7.06</x:v>
      </x:c>
      <x:c r="I40" s="11" t="n">
        <x:v>0.43</x:v>
      </x:c>
      <x:c r="J40" s="11" t="n">
        <x:v>2.26</x:v>
      </x:c>
      <x:c r="K40" s="2" t="str">
        <x:v>2025 localizado</x:v>
      </x:c>
      <x:c r="L40" s="2" t="str"/>
      <x:c r="M40" s="2"/>
      <x:c r="N40" s="2" t="str">
        <x:v>https://es.marketscreener.com/cotizacion/accion/ELECNOR-S-A-4011267/valoracion/</x:v>
      </x:c>
    </x:row>
    <x:row r="41" ht="32" customHeight="1">
      <x:c r="A41" s="8" t="str">
        <x:v>GESTAMP AUTOMOCION, S.A.</x:v>
      </x:c>
      <x:c r="B41" s="8" t="str">
        <x:v>ES0105223004</x:v>
      </x:c>
      <x:c r="C41" s="8" t="str">
        <x:v>Mat.Basicos, Industria y Construcción</x:v>
      </x:c>
      <x:c r="D41" s="8" t="str">
        <x:v>Fabric. y Montaje Bienes de Equipo</x:v>
      </x:c>
      <x:c r="E41" s="8" t="str">
        <x:v>Diciembre</x:v>
      </x:c>
      <x:c r="F41" s="12" t="n">
        <x:v>46078</x:v>
      </x:c>
      <x:c r="G41" s="11" t="n">
        <x:v>11.3</x:v>
      </x:c>
      <x:c r="H41" s="11" t="n">
        <x:v>2.72</x:v>
      </x:c>
      <x:c r="I41" s="11" t="n">
        <x:v>0.31</x:v>
      </x:c>
      <x:c r="J41" s="11" t="n">
        <x:v>0.78</x:v>
      </x:c>
      <x:c r="K41" s="2" t="str">
        <x:v>2025 localizado</x:v>
      </x:c>
      <x:c r="L41" s="2" t="str"/>
      <x:c r="M41" s="2"/>
      <x:c r="N41" s="2" t="str">
        <x:v>https://es.marketscreener.com/cotizacion/accion/GESTAMP-AUTOMOCI-N-S-A-34532674/valoracion/</x:v>
      </x:c>
    </x:row>
    <x:row r="42" ht="32" customHeight="1">
      <x:c r="A42" s="8" t="str">
        <x:v>NICOLAS CORREA S.A.</x:v>
      </x:c>
      <x:c r="B42" s="8" t="str">
        <x:v>ES0166300212</x:v>
      </x:c>
      <x:c r="C42" s="8" t="str">
        <x:v>Mat.Basicos, Industria y Construcción</x:v>
      </x:c>
      <x:c r="D42" s="8" t="str">
        <x:v>Fabric. y Montaje Bienes de Equipo</x:v>
      </x:c>
      <x:c r="E42" s="8" t="str">
        <x:v>Diciembre</x:v>
      </x:c>
      <x:c r="F42" s="12" t="n">
        <x:v>46079</x:v>
      </x:c>
      <x:c r="G42" s="11" t="n">
        <x:v>9.01</x:v>
      </x:c>
      <x:c r="H42" s="11" t="n">
        <x:v>5.97</x:v>
      </x:c>
      <x:c r="I42" s="11" t="n">
        <x:v>0.82</x:v>
      </x:c>
      <x:c r="J42" s="11" t="n">
        <x:v>1.17</x:v>
      </x:c>
      <x:c r="K42" s="2" t="str">
        <x:v>2025 localizado</x:v>
      </x:c>
      <x:c r="L42" s="2" t="str"/>
      <x:c r="M42" s="2"/>
      <x:c r="N42" s="2" t="str">
        <x:v>https://es.marketscreener.com/cotizacion/accion/NICOL-S-CORREA-S-A-74910/valoracion/</x:v>
      </x:c>
    </x:row>
    <x:row r="43" ht="32" customHeight="1">
      <x:c r="A43" s="8" t="str">
        <x:v>TALGO, S.A.</x:v>
      </x:c>
      <x:c r="B43" s="8" t="str">
        <x:v>ES0105065009</x:v>
      </x:c>
      <x:c r="C43" s="8" t="str">
        <x:v>Mat.Basicos, Industria y Construcción</x:v>
      </x:c>
      <x:c r="D43" s="8" t="str">
        <x:v>Fabric. y Montaje Bienes de Equipo</x:v>
      </x:c>
      <x:c r="E43" s="8" t="str">
        <x:v>Diciembre</x:v>
      </x:c>
      <x:c r="F43" s="12" t="n">
        <x:v>46080</x:v>
      </x:c>
      <x:c r="G43" s="11" t="n">
        <x:v>-3.54</x:v>
      </x:c>
      <x:c r="H43" s="11" t="n">
        <x:v>1230</x:v>
      </x:c>
      <x:c r="I43" s="11" t="n">
        <x:v>1.19</x:v>
      </x:c>
      <x:c r="J43" s="11" t="n">
        <x:v>1.52</x:v>
      </x:c>
      <x:c r="K43" s="2" t="str">
        <x:v>2025 localizado</x:v>
      </x:c>
      <x:c r="L43" s="2" t="str">
        <x:v>Múltiplos no positivos excluidos de medianas.</x:v>
      </x:c>
      <x:c r="M43" s="2"/>
      <x:c r="N43" s="2" t="str">
        <x:v>https://es.marketscreener.com/cotizacion/accion/TALGO-S-A-22148977/valoracion/</x:v>
      </x:c>
    </x:row>
    <x:row r="44" ht="32" customHeight="1">
      <x:c r="A44" s="8" t="str">
        <x:v>ERCROS S.A.</x:v>
      </x:c>
      <x:c r="B44" s="8" t="str">
        <x:v>ES0125140A14</x:v>
      </x:c>
      <x:c r="C44" s="8" t="str">
        <x:v>Mat.Basicos, Industria y Construcción</x:v>
      </x:c>
      <x:c r="D44" s="8" t="str">
        <x:v>Industria Química</x:v>
      </x:c>
      <x:c r="E44" s="8" t="str">
        <x:v>Diciembre</x:v>
      </x:c>
      <x:c r="F44" s="12" t="n">
        <x:v>46081</x:v>
      </x:c>
      <x:c r="G44" s="11" t="n">
        <x:v>-5.84</x:v>
      </x:c>
      <x:c r="H44" s="11" t="n">
        <x:v>54.9</x:v>
      </x:c>
      <x:c r="I44" s="11" t="n">
        <x:v>0.65</x:v>
      </x:c>
      <x:c r="J44" s="11" t="str">
        <x:v>n.d.</x:v>
      </x:c>
      <x:c r="K44" s="2" t="str">
        <x:v>2025 localizado</x:v>
      </x:c>
      <x:c r="L44" s="2" t="str">
        <x:v>Múltiplos no positivos excluidos de medianas.</x:v>
      </x:c>
      <x:c r="M44" s="2"/>
      <x:c r="N44" s="2" t="str">
        <x:v>https://es.marketscreener.com/cotizacion/accion/ERCROS-S-A-69039/valoracion/</x:v>
      </x:c>
    </x:row>
    <x:row r="45" ht="32" customHeight="1">
      <x:c r="A45" s="8" t="str">
        <x:v>AIRTIFICIAL INTELLIGENCE STRUCTURES S.A.</x:v>
      </x:c>
      <x:c r="B45" s="8" t="str">
        <x:v>ES0152768612</x:v>
      </x:c>
      <x:c r="C45" s="8" t="str">
        <x:v>Mat.Basicos, Industria y Construcción</x:v>
      </x:c>
      <x:c r="D45" s="8" t="str">
        <x:v>Ingeniería y Otros</x:v>
      </x:c>
      <x:c r="E45" s="8" t="str">
        <x:v>Diciembre</x:v>
      </x:c>
      <x:c r="F45" s="12" t="str">
        <x:v>n.d.</x:v>
      </x:c>
      <x:c r="G45" s="11" t="str">
        <x:v>n.d.</x:v>
      </x:c>
      <x:c r="H45" s="11" t="str">
        <x:v>n.d.</x:v>
      </x:c>
      <x:c r="I45" s="11" t="str">
        <x:v>n.d.</x:v>
      </x:c>
      <x:c r="J45" s="11" t="str">
        <x:v>n.d.</x:v>
      </x:c>
      <x:c r="K45" s="2" t="str">
        <x:v>Sin columna 2025</x:v>
      </x:c>
      <x:c r="L45" s="2" t="str"/>
      <x:c r="M45" s="2"/>
      <x:c r="N45" s="2" t="str">
        <x:v>https://es.marketscreener.com/cotizacion/accion/AIRTIFICIAL-INTELLIGENCE--192599/valoracion/</x:v>
      </x:c>
    </x:row>
    <x:row r="46" ht="32" customHeight="1">
      <x:c r="A46" s="8" t="str">
        <x:v>DURO FELGUERA, S.A.</x:v>
      </x:c>
      <x:c r="B46" s="8" t="str">
        <x:v>ES0162600003</x:v>
      </x:c>
      <x:c r="C46" s="8" t="str">
        <x:v>Mat.Basicos, Industria y Construcción</x:v>
      </x:c>
      <x:c r="D46" s="8" t="str">
        <x:v>Ingeniería y Otros</x:v>
      </x:c>
      <x:c r="E46" s="8" t="str">
        <x:v>Diciembre</x:v>
      </x:c>
      <x:c r="F46" s="12" t="n">
        <x:v>46111</x:v>
      </x:c>
      <x:c r="G46" s="11" t="n">
        <x:v>-0.52</x:v>
      </x:c>
      <x:c r="H46" s="11" t="n">
        <x:v>-10.9</x:v>
      </x:c>
      <x:c r="I46" s="11" t="n">
        <x:v>1.92</x:v>
      </x:c>
      <x:c r="J46" s="11" t="n">
        <x:v>-0.11</x:v>
      </x:c>
      <x:c r="K46" s="2" t="str">
        <x:v>2025 localizado</x:v>
      </x:c>
      <x:c r="L46" s="2" t="str">
        <x:v>Múltiplos no positivos excluidos de medianas.</x:v>
      </x:c>
      <x:c r="M46" s="2"/>
      <x:c r="N46" s="2" t="str">
        <x:v>https://es.marketscreener.com/cotizacion/accion/DURO-FELGUERA-S-A-61568039/valoracion/</x:v>
      </x:c>
    </x:row>
    <x:row r="47" ht="32" customHeight="1">
      <x:c r="A47" s="8" t="str">
        <x:v>FLUIDRA, S.A.</x:v>
      </x:c>
      <x:c r="B47" s="8" t="str">
        <x:v>ES0137650018</x:v>
      </x:c>
      <x:c r="C47" s="8" t="str">
        <x:v>Mat.Basicos, Industria y Construcción</x:v>
      </x:c>
      <x:c r="D47" s="8" t="str">
        <x:v>Ingeniería y Otros</x:v>
      </x:c>
      <x:c r="E47" s="8" t="str">
        <x:v>Diciembre</x:v>
      </x:c>
      <x:c r="F47" s="12" t="n">
        <x:v>46079</x:v>
      </x:c>
      <x:c r="G47" s="11" t="n">
        <x:v>25.3</x:v>
      </x:c>
      <x:c r="H47" s="11" t="n">
        <x:v>10.9</x:v>
      </x:c>
      <x:c r="I47" s="11" t="n">
        <x:v>2.51</x:v>
      </x:c>
      <x:c r="J47" s="11" t="n">
        <x:v>2.76</x:v>
      </x:c>
      <x:c r="K47" s="2" t="str">
        <x:v>2025 localizado</x:v>
      </x:c>
      <x:c r="L47" s="2" t="str"/>
      <x:c r="M47" s="2"/>
      <x:c r="N47" s="2" t="str">
        <x:v>https://es.marketscreener.com/cotizacion/accion/FLUIDRA-S-A-365952/valoracion/</x:v>
      </x:c>
    </x:row>
    <x:row r="48" ht="32" customHeight="1">
      <x:c r="A48" s="8" t="str">
        <x:v>GENERAL DE ALQUILER DE MAQUINARIA, S.A.</x:v>
      </x:c>
      <x:c r="B48" s="8" t="str">
        <x:v>ES0141571192</x:v>
      </x:c>
      <x:c r="C48" s="8" t="str">
        <x:v>Mat.Basicos, Industria y Construcción</x:v>
      </x:c>
      <x:c r="D48" s="8" t="str">
        <x:v>Ingeniería y Otros</x:v>
      </x:c>
      <x:c r="E48" s="8" t="str">
        <x:v>Diciembre</x:v>
      </x:c>
      <x:c r="F48" s="12" t="n">
        <x:v>46079</x:v>
      </x:c>
      <x:c r="G48" s="11" t="n">
        <x:v>22.7</x:v>
      </x:c>
      <x:c r="H48" s="11" t="n">
        <x:v>4.91</x:v>
      </x:c>
      <x:c r="I48" s="11" t="n">
        <x:v>1.35</x:v>
      </x:c>
      <x:c r="J48" s="11" t="str">
        <x:v>n.d.</x:v>
      </x:c>
      <x:c r="K48" s="2" t="str">
        <x:v>2025 localizado</x:v>
      </x:c>
      <x:c r="L48" s="2" t="str"/>
      <x:c r="M48" s="2"/>
      <x:c r="N48" s="2" t="str">
        <x:v>https://es.marketscreener.com/cotizacion/accion/GENERAL-DE-ALQUILER-DE-MA-36939129/valoracion/</x:v>
      </x:c>
    </x:row>
    <x:row r="49" ht="32" customHeight="1">
      <x:c r="A49" s="8" t="str">
        <x:v>TECNICAS REUNIDAS, S.A.</x:v>
      </x:c>
      <x:c r="B49" s="8" t="str">
        <x:v>ES0178165017</x:v>
      </x:c>
      <x:c r="C49" s="8" t="str">
        <x:v>Mat.Basicos, Industria y Construcción</x:v>
      </x:c>
      <x:c r="D49" s="8" t="str">
        <x:v>Ingeniería y Otros</x:v>
      </x:c>
      <x:c r="E49" s="8" t="str">
        <x:v>Diciembre</x:v>
      </x:c>
      <x:c r="F49" s="12" t="n">
        <x:v>46078</x:v>
      </x:c>
      <x:c r="G49" s="11" t="n">
        <x:v>14</x:v>
      </x:c>
      <x:c r="H49" s="11" t="n">
        <x:v>5.54</x:v>
      </x:c>
      <x:c r="I49" s="11" t="n">
        <x:v>0.28</x:v>
      </x:c>
      <x:c r="J49" s="11" t="n">
        <x:v>3.95</x:v>
      </x:c>
      <x:c r="K49" s="2" t="str">
        <x:v>2025 localizado</x:v>
      </x:c>
      <x:c r="L49" s="2" t="str"/>
      <x:c r="M49" s="2"/>
      <x:c r="N49" s="2" t="str">
        <x:v>https://es.marketscreener.com/cotizacion/accion/TECNICAS-REUNIDAS-S-A-183228/valoracion/</x:v>
      </x:c>
    </x:row>
    <x:row r="50" ht="32" customHeight="1">
      <x:c r="A50" s="8" t="str">
        <x:v>TSK ELECTRÓNICA Y ELECTRICIDAD, S.A.</x:v>
      </x:c>
      <x:c r="B50" s="8" t="str">
        <x:v>ES0105394003</x:v>
      </x:c>
      <x:c r="C50" s="8" t="str">
        <x:v>Mat.Basicos, Industria y Construcción</x:v>
      </x:c>
      <x:c r="D50" s="8" t="str">
        <x:v>Ingeniería y Otros</x:v>
      </x:c>
      <x:c r="E50" s="8" t="str">
        <x:v>Diciembre</x:v>
      </x:c>
      <x:c r="F50" s="12" t="str">
        <x:v>n.d.</x:v>
      </x:c>
      <x:c r="G50" s="11" t="str">
        <x:v>n.d.</x:v>
      </x:c>
      <x:c r="H50" s="11" t="str">
        <x:v>n.d.</x:v>
      </x:c>
      <x:c r="I50" s="11" t="str">
        <x:v>n.d.</x:v>
      </x:c>
      <x:c r="J50" s="11" t="str">
        <x:v>n.d.</x:v>
      </x:c>
      <x:c r="K50" s="2" t="str">
        <x:v>Sin columna 2025</x:v>
      </x:c>
      <x:c r="L50" s="2" t="str"/>
      <x:c r="M50" s="2"/>
      <x:c r="N50" s="2" t="str">
        <x:v>https://es.marketscreener.com/cotizacion/accion/TSK-ELECTR-NICA-Y-ELECTRI-209228451/valoracion/</x:v>
      </x:c>
    </x:row>
    <x:row r="51" ht="32" customHeight="1">
      <x:c r="A51" s="8" t="str">
        <x:v>CEMENTOS MOLINS, S.A.</x:v>
      </x:c>
      <x:c r="B51" s="8" t="str">
        <x:v>ES0117360117</x:v>
      </x:c>
      <x:c r="C51" s="8" t="str">
        <x:v>Mat.Basicos, Industria y Construcción</x:v>
      </x:c>
      <x:c r="D51" s="8" t="str">
        <x:v>Materiales de Construcción</x:v>
      </x:c>
      <x:c r="E51" s="8" t="str">
        <x:v>Diciembre</x:v>
      </x:c>
      <x:c r="F51" s="12" t="n">
        <x:v>46079</x:v>
      </x:c>
      <x:c r="G51" s="11" t="n">
        <x:v>11.2</x:v>
      </x:c>
      <x:c r="H51" s="11" t="n">
        <x:v>5.72</x:v>
      </x:c>
      <x:c r="I51" s="11" t="n">
        <x:v>1.49</x:v>
      </x:c>
      <x:c r="J51" s="11" t="str">
        <x:v>n.d.</x:v>
      </x:c>
      <x:c r="K51" s="2" t="str">
        <x:v>2025 localizado</x:v>
      </x:c>
      <x:c r="L51" s="2" t="str"/>
      <x:c r="M51" s="2"/>
      <x:c r="N51" s="2" t="str">
        <x:v>https://es.marketscreener.com/cotizacion/accion/CEMENTOS-MOLINS-S-A-120964302/valoracion/</x:v>
      </x:c>
    </x:row>
    <x:row r="52" ht="32" customHeight="1">
      <x:c r="A52" s="8" t="str">
        <x:v>ACERINOX, S.A.</x:v>
      </x:c>
      <x:c r="B52" s="8" t="str">
        <x:v>ES0132105018</x:v>
      </x:c>
      <x:c r="C52" s="8" t="str">
        <x:v>Mat.Basicos, Industria y Construcción</x:v>
      </x:c>
      <x:c r="D52" s="8" t="str">
        <x:v>Mineral, Metales y Transformación</x:v>
      </x:c>
      <x:c r="E52" s="8" t="str">
        <x:v>Diciembre</x:v>
      </x:c>
      <x:c r="F52" s="12" t="n">
        <x:v>46078</x:v>
      </x:c>
      <x:c r="G52" s="11" t="n">
        <x:v>-79.1</x:v>
      </x:c>
      <x:c r="H52" s="11" t="n">
        <x:v>12.3</x:v>
      </x:c>
      <x:c r="I52" s="11" t="n">
        <x:v>0.75</x:v>
      </x:c>
      <x:c r="J52" s="11" t="n">
        <x:v>1.51</x:v>
      </x:c>
      <x:c r="K52" s="2" t="str">
        <x:v>2025 localizado</x:v>
      </x:c>
      <x:c r="L52" s="2" t="str">
        <x:v>Múltiplos no positivos excluidos de medianas.</x:v>
      </x:c>
      <x:c r="M52" s="2"/>
      <x:c r="N52" s="2" t="str">
        <x:v>https://es.marketscreener.com/cotizacion/accion/ACERINOX-S-A-141121/valoracion/</x:v>
      </x:c>
    </x:row>
    <x:row r="53" ht="32" customHeight="1">
      <x:c r="A53" s="8" t="str">
        <x:v>CIE AUTOMOTIVE, S.A.</x:v>
      </x:c>
      <x:c r="B53" s="8" t="str">
        <x:v>ES0105630315</x:v>
      </x:c>
      <x:c r="C53" s="8" t="str">
        <x:v>Mat.Basicos, Industria y Construcción</x:v>
      </x:c>
      <x:c r="D53" s="8" t="str">
        <x:v>Mineral, Metales y Transformación</x:v>
      </x:c>
      <x:c r="E53" s="8" t="str">
        <x:v>Diciembre</x:v>
      </x:c>
      <x:c r="F53" s="12" t="n">
        <x:v>46078</x:v>
      </x:c>
      <x:c r="G53" s="11" t="n">
        <x:v>10.5</x:v>
      </x:c>
      <x:c r="H53" s="11" t="n">
        <x:v>6</x:v>
      </x:c>
      <x:c r="I53" s="11" t="n">
        <x:v>1.13</x:v>
      </x:c>
      <x:c r="J53" s="11" t="n">
        <x:v>2.45</x:v>
      </x:c>
      <x:c r="K53" s="2" t="str">
        <x:v>2025 localizado</x:v>
      </x:c>
      <x:c r="L53" s="2" t="str"/>
      <x:c r="M53" s="2"/>
      <x:c r="N53" s="2" t="str">
        <x:v>https://es.marketscreener.com/cotizacion/accion/CIE-AUTOMOTIVE-S-A-179927/valoracion/</x:v>
      </x:c>
    </x:row>
    <x:row r="54" ht="32" customHeight="1">
      <x:c r="A54" s="8" t="str">
        <x:v>DESA</x:v>
      </x:c>
      <x:c r="B54" s="8" t="str">
        <x:v>ES0126251018</x:v>
      </x:c>
      <x:c r="C54" s="8" t="str">
        <x:v>Mat.Basicos, Industria y Construcción</x:v>
      </x:c>
      <x:c r="D54" s="8" t="str">
        <x:v>Mineral, Metales y Transformación</x:v>
      </x:c>
      <x:c r="E54" s="8" t="str">
        <x:v>Diciembre</x:v>
      </x:c>
      <x:c r="F54" s="12" t="n">
        <x:v>46080</x:v>
      </x:c>
      <x:c r="G54" s="11" t="n">
        <x:v>8.58</x:v>
      </x:c>
      <x:c r="H54" s="11" t="n">
        <x:v>7.25</x:v>
      </x:c>
      <x:c r="I54" s="11" t="n">
        <x:v>0.89</x:v>
      </x:c>
      <x:c r="J54" s="11" t="n">
        <x:v>1.49</x:v>
      </x:c>
      <x:c r="K54" s="2" t="str">
        <x:v>2025 localizado</x:v>
      </x:c>
      <x:c r="L54" s="2" t="str"/>
      <x:c r="M54" s="2"/>
      <x:c r="N54" s="2" t="str">
        <x:v>https://es.marketscreener.com/cotizacion/accion/DESARROLLOS-ESPECIALES-DE-89896890/valoracion/</x:v>
      </x:c>
    </x:row>
    <x:row r="55" ht="32" customHeight="1">
      <x:c r="A55" s="8" t="str">
        <x:v>LINGOTES ESPECIALES, S.A.</x:v>
      </x:c>
      <x:c r="B55" s="8" t="str">
        <x:v>ES0158480311</x:v>
      </x:c>
      <x:c r="C55" s="8" t="str">
        <x:v>Mat.Basicos, Industria y Construcción</x:v>
      </x:c>
      <x:c r="D55" s="8" t="str">
        <x:v>Mineral, Metales y Transformación</x:v>
      </x:c>
      <x:c r="E55" s="8" t="str">
        <x:v>Diciembre</x:v>
      </x:c>
      <x:c r="F55" s="12" t="n">
        <x:v>46079</x:v>
      </x:c>
      <x:c r="G55" s="11" t="n">
        <x:v>-203</x:v>
      </x:c>
      <x:c r="H55" s="11" t="n">
        <x:v>23.4</x:v>
      </x:c>
      <x:c r="I55" s="11" t="n">
        <x:v>0.93</x:v>
      </x:c>
      <x:c r="J55" s="11" t="str">
        <x:v>n.d.</x:v>
      </x:c>
      <x:c r="K55" s="2" t="str">
        <x:v>2025 localizado</x:v>
      </x:c>
      <x:c r="L55" s="2" t="str">
        <x:v>Múltiplos no positivos excluidos de medianas.</x:v>
      </x:c>
      <x:c r="M55" s="2"/>
      <x:c r="N55" s="2" t="str">
        <x:v>https://es.marketscreener.com/cotizacion/accion/LINGOTES-ESPECIALES-S-A-74770/valoracion/</x:v>
      </x:c>
    </x:row>
    <x:row r="56" ht="32" customHeight="1">
      <x:c r="A56" s="8" t="str">
        <x:v>TUBACEX, S.A.</x:v>
      </x:c>
      <x:c r="B56" s="8" t="str">
        <x:v>ES0132945017</x:v>
      </x:c>
      <x:c r="C56" s="8" t="str">
        <x:v>Mat.Basicos, Industria y Construcción</x:v>
      </x:c>
      <x:c r="D56" s="8" t="str">
        <x:v>Mineral, Metales y Transformación</x:v>
      </x:c>
      <x:c r="E56" s="8" t="str">
        <x:v>Diciembre</x:v>
      </x:c>
      <x:c r="F56" s="12" t="n">
        <x:v>46079</x:v>
      </x:c>
      <x:c r="G56" s="11" t="n">
        <x:v>-13.3</x:v>
      </x:c>
      <x:c r="H56" s="11" t="n">
        <x:v>7.13</x:v>
      </x:c>
      <x:c r="I56" s="11" t="n">
        <x:v>1.05</x:v>
      </x:c>
      <x:c r="J56" s="11" t="n">
        <x:v>1.4</x:v>
      </x:c>
      <x:c r="K56" s="2" t="str">
        <x:v>2025 localizado</x:v>
      </x:c>
      <x:c r="L56" s="2" t="str">
        <x:v>Múltiplos no positivos excluidos de medianas.</x:v>
      </x:c>
      <x:c r="M56" s="2"/>
      <x:c r="N56" s="2" t="str">
        <x:v>https://es.marketscreener.com/cotizacion/accion/TUBACEX-S-A-69371/valoracion/</x:v>
      </x:c>
    </x:row>
    <x:row r="57" ht="32" customHeight="1">
      <x:c r="A57" s="8" t="str">
        <x:v>TUBOS REUNIDOS,S.A.</x:v>
      </x:c>
      <x:c r="B57" s="8" t="str">
        <x:v>ES0180850416</x:v>
      </x:c>
      <x:c r="C57" s="8" t="str">
        <x:v>Mat.Basicos, Industria y Construcción</x:v>
      </x:c>
      <x:c r="D57" s="8" t="str">
        <x:v>Mineral, Metales y Transformación</x:v>
      </x:c>
      <x:c r="E57" s="8" t="str">
        <x:v>Diciembre</x:v>
      </x:c>
      <x:c r="F57" s="12" t="n">
        <x:v>46124</x:v>
      </x:c>
      <x:c r="G57" s="11" t="n">
        <x:v>-0.47</x:v>
      </x:c>
      <x:c r="H57" s="11" t="n">
        <x:v>-13.3</x:v>
      </x:c>
      <x:c r="I57" s="11" t="n">
        <x:v>0.89</x:v>
      </x:c>
      <x:c r="J57" s="11" t="n">
        <x:v>-0.64</x:v>
      </x:c>
      <x:c r="K57" s="2" t="str">
        <x:v>2025 localizado</x:v>
      </x:c>
      <x:c r="L57" s="2" t="str">
        <x:v>Múltiplos no positivos excluidos de medianas.</x:v>
      </x:c>
      <x:c r="M57" s="2"/>
      <x:c r="N57" s="2" t="str">
        <x:v>https://es.marketscreener.com/cotizacion/accion/TUBOS-REUNIDOS-S-A-356837/valoracion/</x:v>
      </x:c>
    </x:row>
    <x:row r="58" ht="32" customHeight="1">
      <x:c r="A58" s="8" t="str">
        <x:v>COX GROUP, S.A.</x:v>
      </x:c>
      <x:c r="B58" s="8" t="str">
        <x:v>ES0105848008</x:v>
      </x:c>
      <x:c r="C58" s="8" t="str">
        <x:v>Petróleo y Energía</x:v>
      </x:c>
      <x:c r="D58" s="8" t="str">
        <x:v>Agua y Otros</x:v>
      </x:c>
      <x:c r="E58" s="8" t="str">
        <x:v>Diciembre</x:v>
      </x:c>
      <x:c r="F58" s="12" t="n">
        <x:v>46078</x:v>
      </x:c>
      <x:c r="G58" s="11" t="n">
        <x:v>11.7</x:v>
      </x:c>
      <x:c r="H58" s="11" t="n">
        <x:v>5.15</x:v>
      </x:c>
      <x:c r="I58" s="11" t="n">
        <x:v>1.02</x:v>
      </x:c>
      <x:c r="J58" s="11" t="str">
        <x:v>n.d.</x:v>
      </x:c>
      <x:c r="K58" s="2" t="str">
        <x:v>2025 localizado</x:v>
      </x:c>
      <x:c r="L58" s="2" t="str"/>
      <x:c r="M58" s="2"/>
      <x:c r="N58" s="2" t="str">
        <x:v>https://es.marketscreener.com/cotizacion/accion/COX-INFRASTRUCTURE-GROUP--178608219/valoracion/</x:v>
      </x:c>
    </x:row>
    <x:row r="59" ht="32" customHeight="1">
      <x:c r="A59" s="8" t="str">
        <x:v>ENAGAS, S.A.</x:v>
      </x:c>
      <x:c r="B59" s="8" t="str">
        <x:v>ES0130960018</x:v>
      </x:c>
      <x:c r="C59" s="8" t="str">
        <x:v>Petróleo y Energía</x:v>
      </x:c>
      <x:c r="D59" s="8" t="str">
        <x:v>Electricidad y Gas</x:v>
      </x:c>
      <x:c r="E59" s="8" t="str">
        <x:v>Diciembre</x:v>
      </x:c>
      <x:c r="F59" s="12" t="n">
        <x:v>46069</x:v>
      </x:c>
      <x:c r="G59" s="11" t="n">
        <x:v>10.2</x:v>
      </x:c>
      <x:c r="H59" s="11" t="n">
        <x:v>8.72</x:v>
      </x:c>
      <x:c r="I59" s="11" t="n">
        <x:v>6.03</x:v>
      </x:c>
      <x:c r="J59" s="11" t="n">
        <x:v>1.49</x:v>
      </x:c>
      <x:c r="K59" s="2" t="str">
        <x:v>2025 localizado</x:v>
      </x:c>
      <x:c r="L59" s="2" t="str"/>
      <x:c r="M59" s="2"/>
      <x:c r="N59" s="2" t="str">
        <x:v>https://es.marketscreener.com/cotizacion/accion/ENAG-S-S-A-409361/valoracion/</x:v>
      </x:c>
    </x:row>
    <x:row r="60" ht="32" customHeight="1">
      <x:c r="A60" s="8" t="str">
        <x:v>ENDESA, SOCIEDAD ANONIMA</x:v>
      </x:c>
      <x:c r="B60" s="8" t="str">
        <x:v>ES0130670112</x:v>
      </x:c>
      <x:c r="C60" s="8" t="str">
        <x:v>Petróleo y Energía</x:v>
      </x:c>
      <x:c r="D60" s="8" t="str">
        <x:v>Electricidad y Gas</x:v>
      </x:c>
      <x:c r="E60" s="8" t="str">
        <x:v>Diciembre</x:v>
      </x:c>
      <x:c r="F60" s="12" t="n">
        <x:v>46076</x:v>
      </x:c>
      <x:c r="G60" s="11" t="n">
        <x:v>14.6</x:v>
      </x:c>
      <x:c r="H60" s="11" t="n">
        <x:v>7.3</x:v>
      </x:c>
      <x:c r="I60" s="11" t="n">
        <x:v>1.96</x:v>
      </x:c>
      <x:c r="J60" s="11" t="n">
        <x:v>4.43</x:v>
      </x:c>
      <x:c r="K60" s="2" t="str">
        <x:v>2025 localizado</x:v>
      </x:c>
      <x:c r="L60" s="2" t="str"/>
      <x:c r="M60" s="2"/>
      <x:c r="N60" s="2" t="str">
        <x:v>https://es.marketscreener.com/cotizacion/accion/ENDESA-S-A-69599/valoracion/</x:v>
      </x:c>
    </x:row>
    <x:row r="61" ht="32" customHeight="1">
      <x:c r="A61" s="8" t="str">
        <x:v>IBERDROLA, S.A.</x:v>
      </x:c>
      <x:c r="B61" s="8" t="str">
        <x:v>ES0144580Y14</x:v>
      </x:c>
      <x:c r="C61" s="8" t="str">
        <x:v>Petróleo y Energía</x:v>
      </x:c>
      <x:c r="D61" s="8" t="str">
        <x:v>Electricidad y Gas</x:v>
      </x:c>
      <x:c r="E61" s="8" t="str">
        <x:v>Diciembre</x:v>
      </x:c>
      <x:c r="F61" s="12" t="n">
        <x:v>46078</x:v>
      </x:c>
      <x:c r="G61" s="11" t="n">
        <x:v>20</x:v>
      </x:c>
      <x:c r="H61" s="11" t="n">
        <x:v>10.4</x:v>
      </x:c>
      <x:c r="I61" s="11" t="n">
        <x:v>3.77</x:v>
      </x:c>
      <x:c r="J61" s="11" t="n">
        <x:v>2.46</x:v>
      </x:c>
      <x:c r="K61" s="2" t="str">
        <x:v>2025 localizado</x:v>
      </x:c>
      <x:c r="L61" s="2" t="str"/>
      <x:c r="M61" s="2"/>
      <x:c r="N61" s="2" t="str">
        <x:v>https://es.marketscreener.com/cotizacion/accion/IBERDROLA-S-A-355153/valoracion/</x:v>
      </x:c>
    </x:row>
    <x:row r="62" ht="32" customHeight="1">
      <x:c r="A62" s="8" t="str">
        <x:v>NATURGY ENERGY GROUP, S.A.</x:v>
      </x:c>
      <x:c r="B62" s="8" t="str">
        <x:v>ES0116870314</x:v>
      </x:c>
      <x:c r="C62" s="8" t="str">
        <x:v>Petróleo y Energía</x:v>
      </x:c>
      <x:c r="D62" s="8" t="str">
        <x:v>Electricidad y Gas</x:v>
      </x:c>
      <x:c r="E62" s="8" t="str">
        <x:v>Diciembre</x:v>
      </x:c>
      <x:c r="F62" s="12" t="n">
        <x:v>46071</x:v>
      </x:c>
      <x:c r="G62" s="11" t="n">
        <x:v>11.9</x:v>
      </x:c>
      <x:c r="H62" s="11" t="n">
        <x:v>6.98</x:v>
      </x:c>
      <x:c r="I62" s="11" t="n">
        <x:v>1.91</x:v>
      </x:c>
      <x:c r="J62" s="11" t="n">
        <x:v>2.57</x:v>
      </x:c>
      <x:c r="K62" s="2" t="str">
        <x:v>2025 localizado</x:v>
      </x:c>
      <x:c r="L62" s="2" t="str"/>
      <x:c r="M62" s="2"/>
      <x:c r="N62" s="2" t="str">
        <x:v>https://es.marketscreener.com/cotizacion/accion/NATURGY-ENERGY-GROUP-S-A-74206/valoracion/</x:v>
      </x:c>
    </x:row>
    <x:row r="63" ht="32" customHeight="1">
      <x:c r="A63" s="8" t="str">
        <x:v>REDEIA CORPORACION, S.A.</x:v>
      </x:c>
      <x:c r="B63" s="8" t="str">
        <x:v>ES0173093024</x:v>
      </x:c>
      <x:c r="C63" s="8" t="str">
        <x:v>Petróleo y Energía</x:v>
      </x:c>
      <x:c r="D63" s="8" t="str">
        <x:v>Electricidad y Gas</x:v>
      </x:c>
      <x:c r="E63" s="8" t="str">
        <x:v>Diciembre</x:v>
      </x:c>
      <x:c r="F63" s="12" t="n">
        <x:v>46078</x:v>
      </x:c>
      <x:c r="G63" s="11" t="n">
        <x:v>16.9</x:v>
      </x:c>
      <x:c r="H63" s="11" t="n">
        <x:v>10.9</x:v>
      </x:c>
      <x:c r="I63" s="11" t="n">
        <x:v>8.24</x:v>
      </x:c>
      <x:c r="J63" s="11" t="n">
        <x:v>1.56</x:v>
      </x:c>
      <x:c r="K63" s="2" t="str">
        <x:v>2025 localizado</x:v>
      </x:c>
      <x:c r="L63" s="2" t="str"/>
      <x:c r="M63" s="2"/>
      <x:c r="N63" s="2" t="str">
        <x:v>https://es.marketscreener.com/cotizacion/accion/REDEIA-CORPORACION-S-A-29688106/valoracion/</x:v>
      </x:c>
    </x:row>
    <x:row r="64" ht="32" customHeight="1">
      <x:c r="A64" s="8" t="str">
        <x:v>AUDAX RENOVABLES, S.A.</x:v>
      </x:c>
      <x:c r="B64" s="8" t="str">
        <x:v>ES0136463017</x:v>
      </x:c>
      <x:c r="C64" s="8" t="str">
        <x:v>Petróleo y Energía</x:v>
      </x:c>
      <x:c r="D64" s="8" t="str">
        <x:v>Energías Renovables</x:v>
      </x:c>
      <x:c r="E64" s="8" t="str">
        <x:v>Diciembre</x:v>
      </x:c>
      <x:c r="F64" s="12" t="n">
        <x:v>46078</x:v>
      </x:c>
      <x:c r="G64" s="11" t="n">
        <x:v>31.3</x:v>
      </x:c>
      <x:c r="H64" s="11" t="n">
        <x:v>8.06</x:v>
      </x:c>
      <x:c r="I64" s="11" t="n">
        <x:v>0.49</x:v>
      </x:c>
      <x:c r="J64" s="11" t="n">
        <x:v>2.97</x:v>
      </x:c>
      <x:c r="K64" s="2" t="str">
        <x:v>2025 localizado</x:v>
      </x:c>
      <x:c r="L64" s="2" t="str"/>
      <x:c r="M64" s="2"/>
      <x:c r="N64" s="2" t="str">
        <x:v>https://es.marketscreener.com/cotizacion/accion/AUDAX-RENOVABLES-S-A-101780/valoracion/</x:v>
      </x:c>
    </x:row>
    <x:row r="65" ht="32" customHeight="1">
      <x:c r="A65" s="8" t="str">
        <x:v>CORP.  ACCIONA ENERGÍAS RENOVABLES, S.A.</x:v>
      </x:c>
      <x:c r="B65" s="8" t="str">
        <x:v>ES0105563003</x:v>
      </x:c>
      <x:c r="C65" s="8" t="str">
        <x:v>Petróleo y Energía</x:v>
      </x:c>
      <x:c r="D65" s="8" t="str">
        <x:v>Energías Renovables</x:v>
      </x:c>
      <x:c r="E65" s="8" t="str">
        <x:v>Diciembre</x:v>
      </x:c>
      <x:c r="F65" s="12" t="n">
        <x:v>46078</x:v>
      </x:c>
      <x:c r="G65" s="11" t="n">
        <x:v>10.5</x:v>
      </x:c>
      <x:c r="H65" s="11" t="n">
        <x:v>7.39</x:v>
      </x:c>
      <x:c r="I65" s="11" t="n">
        <x:v>3.91</x:v>
      </x:c>
      <x:c r="J65" s="11" t="n">
        <x:v>1.25</x:v>
      </x:c>
      <x:c r="K65" s="2" t="str">
        <x:v>2025 localizado</x:v>
      </x:c>
      <x:c r="L65" s="2" t="str"/>
      <x:c r="M65" s="2"/>
      <x:c r="N65" s="2" t="str">
        <x:v>https://es.marketscreener.com/cotizacion/accion/CORPORACI-N-ACCIONA-ENERG-124363463/valoracion/</x:v>
      </x:c>
    </x:row>
    <x:row r="66" ht="32" customHeight="1">
      <x:c r="A66" s="8" t="str">
        <x:v>ECOENER, S.A.</x:v>
      </x:c>
      <x:c r="B66" s="8" t="str">
        <x:v>ES0105548004</x:v>
      </x:c>
      <x:c r="C66" s="8" t="str">
        <x:v>Petróleo y Energía</x:v>
      </x:c>
      <x:c r="D66" s="8" t="str">
        <x:v>Energías Renovables</x:v>
      </x:c>
      <x:c r="E66" s="8" t="str">
        <x:v>Diciembre</x:v>
      </x:c>
      <x:c r="F66" s="12" t="n">
        <x:v>46078</x:v>
      </x:c>
      <x:c r="G66" s="11" t="n">
        <x:v>50.2</x:v>
      </x:c>
      <x:c r="H66" s="11" t="n">
        <x:v>21.2</x:v>
      </x:c>
      <x:c r="I66" s="11" t="n">
        <x:v>10.6</x:v>
      </x:c>
      <x:c r="J66" s="11" t="n">
        <x:v>2.31</x:v>
      </x:c>
      <x:c r="K66" s="2" t="str">
        <x:v>2025 localizado</x:v>
      </x:c>
      <x:c r="L66" s="2" t="str"/>
      <x:c r="M66" s="2"/>
      <x:c r="N66" s="2" t="str">
        <x:v>https://es.marketscreener.com/cotizacion/accion/ECOENER-S-A-122370158/valoracion/</x:v>
      </x:c>
    </x:row>
    <x:row r="67" ht="32" customHeight="1">
      <x:c r="A67" s="8" t="str">
        <x:v>GRENERGY</x:v>
      </x:c>
      <x:c r="B67" s="8" t="str">
        <x:v>ES0105079000</x:v>
      </x:c>
      <x:c r="C67" s="8" t="str">
        <x:v>Petróleo y Energía</x:v>
      </x:c>
      <x:c r="D67" s="8" t="str">
        <x:v>Energías Renovables</x:v>
      </x:c>
      <x:c r="E67" s="8" t="str">
        <x:v>Diciembre</x:v>
      </x:c>
      <x:c r="F67" s="12" t="n">
        <x:v>46077</x:v>
      </x:c>
      <x:c r="G67" s="11" t="n">
        <x:v>27.7</x:v>
      </x:c>
      <x:c r="H67" s="11" t="n">
        <x:v>17.3</x:v>
      </x:c>
      <x:c r="I67" s="11" t="n">
        <x:v>3.25</x:v>
      </x:c>
      <x:c r="J67" s="11" t="n">
        <x:v>5.81</x:v>
      </x:c>
      <x:c r="K67" s="2" t="str">
        <x:v>2025 localizado</x:v>
      </x:c>
      <x:c r="L67" s="2" t="str"/>
      <x:c r="M67" s="2"/>
      <x:c r="N67" s="2" t="str">
        <x:v>https://es.marketscreener.com/cotizacion/accion/GRENERGY-RENOVABLES-S-A-29423731/valoracion/</x:v>
      </x:c>
    </x:row>
    <x:row r="68" ht="32" customHeight="1">
      <x:c r="A68" s="8" t="str">
        <x:v>SOLARIA ENERGIA Y MEDIO AMBIENTE, S.A.</x:v>
      </x:c>
      <x:c r="B68" s="8" t="str">
        <x:v>ES0165386014</x:v>
      </x:c>
      <x:c r="C68" s="8" t="str">
        <x:v>Petróleo y Energía</x:v>
      </x:c>
      <x:c r="D68" s="8" t="str">
        <x:v>Energías Renovables</x:v>
      </x:c>
      <x:c r="E68" s="8" t="str">
        <x:v>Diciembre</x:v>
      </x:c>
      <x:c r="F68" s="12" t="n">
        <x:v>46078</x:v>
      </x:c>
      <x:c r="G68" s="11" t="n">
        <x:v>16.5</x:v>
      </x:c>
      <x:c r="H68" s="11" t="n">
        <x:v>13.7</x:v>
      </x:c>
      <x:c r="I68" s="11" t="n">
        <x:v>12.1</x:v>
      </x:c>
      <x:c r="J68" s="11" t="n">
        <x:v>3.12</x:v>
      </x:c>
      <x:c r="K68" s="2" t="str">
        <x:v>2025 localizado</x:v>
      </x:c>
      <x:c r="L68" s="2" t="str"/>
      <x:c r="M68" s="2"/>
      <x:c r="N68" s="2" t="str">
        <x:v>https://es.marketscreener.com/cotizacion/accion/SOLARIA-ENERGIA-Y-MEDIO-A-273983/valoracion/</x:v>
      </x:c>
    </x:row>
    <x:row r="69" ht="32" customHeight="1">
      <x:c r="A69" s="8" t="str">
        <x:v>SOLTEC POWER HOLDINGS, S.A.</x:v>
      </x:c>
      <x:c r="B69" s="8" t="str">
        <x:v>ES0105513008</x:v>
      </x:c>
      <x:c r="C69" s="8" t="str">
        <x:v>Petróleo y Energía</x:v>
      </x:c>
      <x:c r="D69" s="8" t="str">
        <x:v>Energías Renovables</x:v>
      </x:c>
      <x:c r="E69" s="8" t="str">
        <x:v>Diciembre</x:v>
      </x:c>
      <x:c r="F69" s="12" t="n">
        <x:v>46106</x:v>
      </x:c>
      <x:c r="G69" s="11" t="n">
        <x:v>8.29</x:v>
      </x:c>
      <x:c r="H69" s="11" t="n">
        <x:v>-11.3</x:v>
      </x:c>
      <x:c r="I69" s="11" t="n">
        <x:v>5.51</x:v>
      </x:c>
      <x:c r="J69" s="11" t="n">
        <x:v>-15.1</x:v>
      </x:c>
      <x:c r="K69" s="2" t="str">
        <x:v>2025 localizado</x:v>
      </x:c>
      <x:c r="L69" s="2" t="str">
        <x:v>Múltiplos no positivos excluidos de medianas.</x:v>
      </x:c>
      <x:c r="M69" s="2"/>
      <x:c r="N69" s="2" t="str">
        <x:v>https://es.marketscreener.com/cotizacion/accion/SOLTEC-POWER-HOLDINGS-S-A-114383842/valoracion/</x:v>
      </x:c>
    </x:row>
    <x:row r="70" ht="32" customHeight="1">
      <x:c r="A70" s="8" t="str">
        <x:v>REPSOL, S.A.</x:v>
      </x:c>
      <x:c r="B70" s="8" t="str">
        <x:v>ES0173516115</x:v>
      </x:c>
      <x:c r="C70" s="8" t="str">
        <x:v>Petróleo y Energía</x:v>
      </x:c>
      <x:c r="D70" s="8" t="str">
        <x:v>Petróleo</x:v>
      </x:c>
      <x:c r="E70" s="8" t="str">
        <x:v>Diciembre</x:v>
      </x:c>
      <x:c r="F70" s="12" t="n">
        <x:v>46072</x:v>
      </x:c>
      <x:c r="G70" s="11" t="n">
        <x:v>9.83</x:v>
      </x:c>
      <x:c r="H70" s="11" t="n">
        <x:v>3.06</x:v>
      </x:c>
      <x:c r="I70" s="11" t="n">
        <x:v>0.41</x:v>
      </x:c>
      <x:c r="J70" s="11" t="n">
        <x:v>0.72</x:v>
      </x:c>
      <x:c r="K70" s="2" t="str">
        <x:v>2025 localizado</x:v>
      </x:c>
      <x:c r="L70" s="2" t="str"/>
      <x:c r="M70" s="2"/>
      <x:c r="N70" s="2" t="str">
        <x:v>https://es.marketscreener.com/cotizacion/accion/REPSOL-S-A-75044/valoracion/</x:v>
      </x:c>
    </x:row>
    <x:row r="71" ht="32" customHeight="1">
      <x:c r="A71" s="8" t="str">
        <x:v>BANCO BILBAO VIZCAYA ARGENTARIA, S.A.</x:v>
      </x:c>
      <x:c r="B71" s="8" t="str">
        <x:v>ES0113211835</x:v>
      </x:c>
      <x:c r="C71" s="8" t="str">
        <x:v>Servicios Financieros</x:v>
      </x:c>
      <x:c r="D71" s="8" t="str">
        <x:v>Bancos y Cajas de Ahorro</x:v>
      </x:c>
      <x:c r="E71" s="8" t="str">
        <x:v>Diciembre</x:v>
      </x:c>
      <x:c r="F71" s="12" t="n">
        <x:v>46058</x:v>
      </x:c>
      <x:c r="G71" s="11" t="n">
        <x:v>11.4</x:v>
      </x:c>
      <x:c r="H71" s="11" t="str">
        <x:v>n.d.</x:v>
      </x:c>
      <x:c r="I71" s="11" t="n">
        <x:v>0</x:v>
      </x:c>
      <x:c r="J71" s="11" t="n">
        <x:v>1.97</x:v>
      </x:c>
      <x:c r="K71" s="2" t="str">
        <x:v>2025 localizado</x:v>
      </x:c>
      <x:c r="L71" s="2" t="str">
        <x:v>VE/EBITDA y VE/ventas no se usan en la mediana de bancos y seguros. Múltiplos no positivos excluidos de medianas.</x:v>
      </x:c>
      <x:c r="M71" s="2"/>
      <x:c r="N71" s="2" t="str">
        <x:v>https://es.marketscreener.com/cotizacion/accion/BBVA-69719/valoracion/</x:v>
      </x:c>
    </x:row>
    <x:row r="72" ht="32" customHeight="1">
      <x:c r="A72" s="8" t="str">
        <x:v>BANCO DE SABADELL, S.A.</x:v>
      </x:c>
      <x:c r="B72" s="8" t="str">
        <x:v>ES0113860A34</x:v>
      </x:c>
      <x:c r="C72" s="8" t="str">
        <x:v>Servicios Financieros</x:v>
      </x:c>
      <x:c r="D72" s="8" t="str">
        <x:v>Bancos y Cajas de Ahorro</x:v>
      </x:c>
      <x:c r="E72" s="8" t="str">
        <x:v>Diciembre</x:v>
      </x:c>
      <x:c r="F72" s="12" t="n">
        <x:v>46059</x:v>
      </x:c>
      <x:c r="G72" s="11" t="n">
        <x:v>10.5</x:v>
      </x:c>
      <x:c r="H72" s="11" t="str">
        <x:v>n.d.</x:v>
      </x:c>
      <x:c r="I72" s="11" t="n">
        <x:v>0</x:v>
      </x:c>
      <x:c r="J72" s="11" t="n">
        <x:v>1.15</x:v>
      </x:c>
      <x:c r="K72" s="2" t="str">
        <x:v>2025 localizado</x:v>
      </x:c>
      <x:c r="L72" s="2" t="str">
        <x:v>VE/EBITDA y VE/ventas no se usan en la mediana de bancos y seguros. Múltiplos no positivos excluidos de medianas.</x:v>
      </x:c>
      <x:c r="M72" s="2"/>
      <x:c r="N72" s="2" t="str">
        <x:v>https://es.marketscreener.com/cotizacion/accion/BANCO-DE-SABADELL-S-A-260497/valoracion/</x:v>
      </x:c>
    </x:row>
    <x:row r="73" ht="32" customHeight="1">
      <x:c r="A73" s="8" t="str">
        <x:v>BANCO SANTANDER, S.A.</x:v>
      </x:c>
      <x:c r="B73" s="8" t="str">
        <x:v>ES0113900J37</x:v>
      </x:c>
      <x:c r="C73" s="8" t="str">
        <x:v>Servicios Financieros</x:v>
      </x:c>
      <x:c r="D73" s="8" t="str">
        <x:v>Bancos y Cajas de Ahorro</x:v>
      </x:c>
      <x:c r="E73" s="8" t="str">
        <x:v>Diciembre</x:v>
      </x:c>
      <x:c r="F73" s="12" t="n">
        <x:v>46056</x:v>
      </x:c>
      <x:c r="G73" s="11" t="n">
        <x:v>11.2</x:v>
      </x:c>
      <x:c r="H73" s="11" t="str">
        <x:v>n.d.</x:v>
      </x:c>
      <x:c r="I73" s="11" t="n">
        <x:v>0</x:v>
      </x:c>
      <x:c r="J73" s="11" t="n">
        <x:v>1.31</x:v>
      </x:c>
      <x:c r="K73" s="2" t="str">
        <x:v>2025 localizado</x:v>
      </x:c>
      <x:c r="L73" s="2" t="str">
        <x:v>VE/EBITDA y VE/ventas no se usan en la mediana de bancos y seguros. Múltiplos no positivos excluidos de medianas.</x:v>
      </x:c>
      <x:c r="M73" s="2"/>
      <x:c r="N73" s="2" t="str">
        <x:v>https://es.marketscreener.com/cotizacion/accion/BANCO-SANTANDER-S-A-69308/valoracion/</x:v>
      </x:c>
    </x:row>
    <x:row r="74" ht="32" customHeight="1">
      <x:c r="A74" s="8" t="str">
        <x:v>BANKINTER,S.A.</x:v>
      </x:c>
      <x:c r="B74" s="8" t="str">
        <x:v>ES0113679I37</x:v>
      </x:c>
      <x:c r="C74" s="8" t="str">
        <x:v>Servicios Financieros</x:v>
      </x:c>
      <x:c r="D74" s="8" t="str">
        <x:v>Bancos y Cajas de Ahorro</x:v>
      </x:c>
      <x:c r="E74" s="8" t="str">
        <x:v>Diciembre</x:v>
      </x:c>
      <x:c r="F74" s="12" t="n">
        <x:v>46043</x:v>
      </x:c>
      <x:c r="G74" s="11" t="n">
        <x:v>12.1</x:v>
      </x:c>
      <x:c r="H74" s="11" t="str">
        <x:v>n.d.</x:v>
      </x:c>
      <x:c r="I74" s="11" t="n">
        <x:v>0</x:v>
      </x:c>
      <x:c r="J74" s="11" t="n">
        <x:v>1.98</x:v>
      </x:c>
      <x:c r="K74" s="2" t="str">
        <x:v>2025 localizado</x:v>
      </x:c>
      <x:c r="L74" s="2" t="str">
        <x:v>VE/EBITDA y VE/ventas no se usan en la mediana de bancos y seguros. Múltiplos no positivos excluidos de medianas.</x:v>
      </x:c>
      <x:c r="M74" s="2"/>
      <x:c r="N74" s="2" t="str">
        <x:v>https://es.marketscreener.com/cotizacion/accion/BANKINTER-S-A-410428/valoracion/</x:v>
      </x:c>
    </x:row>
    <x:row r="75" ht="32" customHeight="1">
      <x:c r="A75" s="8" t="str">
        <x:v>CAIXABANK, S.A.</x:v>
      </x:c>
      <x:c r="B75" s="8" t="str">
        <x:v>ES0140609019</x:v>
      </x:c>
      <x:c r="C75" s="8" t="str">
        <x:v>Servicios Financieros</x:v>
      </x:c>
      <x:c r="D75" s="8" t="str">
        <x:v>Bancos y Cajas de Ahorro</x:v>
      </x:c>
      <x:c r="E75" s="8" t="str">
        <x:v>Diciembre</x:v>
      </x:c>
      <x:c r="F75" s="12" t="n">
        <x:v>46052</x:v>
      </x:c>
      <x:c r="G75" s="11" t="n">
        <x:v>12.6</x:v>
      </x:c>
      <x:c r="H75" s="11" t="str">
        <x:v>n.d.</x:v>
      </x:c>
      <x:c r="I75" s="11" t="n">
        <x:v>0</x:v>
      </x:c>
      <x:c r="J75" s="11" t="n">
        <x:v>1.9</x:v>
      </x:c>
      <x:c r="K75" s="2" t="str">
        <x:v>2025 localizado</x:v>
      </x:c>
      <x:c r="L75" s="2" t="str">
        <x:v>VE/EBITDA y VE/ventas no se usan en la mediana de bancos y seguros. Múltiplos no positivos excluidos de medianas.</x:v>
      </x:c>
      <x:c r="M75" s="2"/>
      <x:c r="N75" s="2" t="str">
        <x:v>https://es.marketscreener.com/cotizacion/accion/CAIXABANK-S-A-357103/valoracion/</x:v>
      </x:c>
    </x:row>
    <x:row r="76" ht="32" customHeight="1">
      <x:c r="A76" s="8" t="str">
        <x:v>UNICAJA BANCO, S.A.</x:v>
      </x:c>
      <x:c r="B76" s="8" t="str">
        <x:v>ES0180907000</x:v>
      </x:c>
      <x:c r="C76" s="8" t="str">
        <x:v>Servicios Financieros</x:v>
      </x:c>
      <x:c r="D76" s="8" t="str">
        <x:v>Bancos y Cajas de Ahorro</x:v>
      </x:c>
      <x:c r="E76" s="8" t="str">
        <x:v>Diciembre</x:v>
      </x:c>
      <x:c r="F76" s="12" t="n">
        <x:v>46056</x:v>
      </x:c>
      <x:c r="G76" s="11" t="n">
        <x:v>11.3</x:v>
      </x:c>
      <x:c r="H76" s="11" t="str">
        <x:v>n.d.</x:v>
      </x:c>
      <x:c r="I76" s="11" t="n">
        <x:v>0</x:v>
      </x:c>
      <x:c r="J76" s="11" t="n">
        <x:v>1.12</x:v>
      </x:c>
      <x:c r="K76" s="2" t="str">
        <x:v>2025 localizado</x:v>
      </x:c>
      <x:c r="L76" s="2" t="str">
        <x:v>VE/EBITDA y VE/ventas no se usan en la mediana de bancos y seguros. Múltiplos no positivos excluidos de medianas.</x:v>
      </x:c>
      <x:c r="M76" s="2"/>
      <x:c r="N76" s="2" t="str">
        <x:v>https://es.marketscreener.com/cotizacion/accion/UNICAJA-BANCO-S-A-36718485/valoracion/</x:v>
      </x:c>
    </x:row>
    <x:row r="77" ht="32" customHeight="1">
      <x:c r="A77" s="8" t="str">
        <x:v>ALANTRA PARTNERS, S.A.</x:v>
      </x:c>
      <x:c r="B77" s="8" t="str">
        <x:v>ES0126501131</x:v>
      </x:c>
      <x:c r="C77" s="8" t="str">
        <x:v>Servicios Financieros</x:v>
      </x:c>
      <x:c r="D77" s="8" t="str">
        <x:v>Cartera y Holding</x:v>
      </x:c>
      <x:c r="E77" s="8" t="str">
        <x:v>Diciembre</x:v>
      </x:c>
      <x:c r="F77" s="12" t="n">
        <x:v>46108</x:v>
      </x:c>
      <x:c r="G77" s="11" t="n">
        <x:v>16.2</x:v>
      </x:c>
      <x:c r="H77" s="11" t="str">
        <x:v>n.d.</x:v>
      </x:c>
      <x:c r="I77" s="11" t="n">
        <x:v>1.15</x:v>
      </x:c>
      <x:c r="J77" s="11" t="n">
        <x:v>1.07</x:v>
      </x:c>
      <x:c r="K77" s="2" t="str">
        <x:v>2025 localizado</x:v>
      </x:c>
      <x:c r="L77" s="2" t="str"/>
      <x:c r="M77" s="2"/>
      <x:c r="N77" s="2" t="str">
        <x:v>https://es.marketscreener.com/cotizacion/accion/ALANTRA-PARTNERS-S-A-74284/valoracion/</x:v>
      </x:c>
    </x:row>
    <x:row r="78" ht="32" customHeight="1">
      <x:c r="A78" s="8" t="str">
        <x:v>INMOCEMENTO, S.A.</x:v>
      </x:c>
      <x:c r="B78" s="8" t="str">
        <x:v>ES0105836003</x:v>
      </x:c>
      <x:c r="C78" s="8" t="str">
        <x:v>Servicios Financieros</x:v>
      </x:c>
      <x:c r="D78" s="8" t="str">
        <x:v>Cartera y Holding</x:v>
      </x:c>
      <x:c r="E78" s="8" t="str">
        <x:v>Diciembre</x:v>
      </x:c>
      <x:c r="F78" s="12" t="n">
        <x:v>46077</x:v>
      </x:c>
      <x:c r="G78" s="11" t="n">
        <x:v>4.72</x:v>
      </x:c>
      <x:c r="H78" s="11" t="n">
        <x:v>6.07</x:v>
      </x:c>
      <x:c r="I78" s="11" t="n">
        <x:v>2.15</x:v>
      </x:c>
      <x:c r="J78" s="11" t="str">
        <x:v>n.d.</x:v>
      </x:c>
      <x:c r="K78" s="2" t="str">
        <x:v>2025 localizado</x:v>
      </x:c>
      <x:c r="L78" s="2" t="str"/>
      <x:c r="M78" s="2"/>
      <x:c r="N78" s="2" t="str">
        <x:v>https://es.marketscreener.com/cotizacion/accion/INMOCEMENTO-S-A-178441185/valoracion/</x:v>
      </x:c>
    </x:row>
    <x:row r="79" ht="32" customHeight="1">
      <x:c r="A79" s="8" t="str">
        <x:v>LINEA DIRECTA ASEGURADORA, S.A.</x:v>
      </x:c>
      <x:c r="B79" s="8" t="str">
        <x:v>ES0105546008</x:v>
      </x:c>
      <x:c r="C79" s="8" t="str">
        <x:v>Servicios Financieros</x:v>
      </x:c>
      <x:c r="D79" s="8" t="str">
        <x:v>Seguros</x:v>
      </x:c>
      <x:c r="E79" s="8" t="str">
        <x:v>Diciembre</x:v>
      </x:c>
      <x:c r="F79" s="12" t="n">
        <x:v>46076</x:v>
      </x:c>
      <x:c r="G79" s="11" t="n">
        <x:v>14</x:v>
      </x:c>
      <x:c r="H79" s="11" t="str">
        <x:v>n.d.</x:v>
      </x:c>
      <x:c r="I79" s="11" t="n">
        <x:v>1.06</x:v>
      </x:c>
      <x:c r="J79" s="11" t="n">
        <x:v>3.02</x:v>
      </x:c>
      <x:c r="K79" s="2" t="str">
        <x:v>2025 localizado</x:v>
      </x:c>
      <x:c r="L79" s="2" t="str">
        <x:v>VE/EBITDA y VE/ventas no se usan en la mediana de bancos y seguros.</x:v>
      </x:c>
      <x:c r="M79" s="2"/>
      <x:c r="N79" s="2" t="str">
        <x:v>https://es.marketscreener.com/cotizacion/accion/L-NEA-DIRECTA-ASEGURADORA-121503999/valoracion/</x:v>
      </x:c>
    </x:row>
    <x:row r="80" ht="32" customHeight="1">
      <x:c r="A80" s="8" t="str">
        <x:v>MAPFRE, S.A.</x:v>
      </x:c>
      <x:c r="B80" s="8" t="str">
        <x:v>ES0124244E34</x:v>
      </x:c>
      <x:c r="C80" s="8" t="str">
        <x:v>Servicios Financieros</x:v>
      </x:c>
      <x:c r="D80" s="8" t="str">
        <x:v>Seguros</x:v>
      </x:c>
      <x:c r="E80" s="8" t="str">
        <x:v>Diciembre</x:v>
      </x:c>
      <x:c r="F80" s="12" t="n">
        <x:v>46064</x:v>
      </x:c>
      <x:c r="G80" s="11" t="n">
        <x:v>11.6</x:v>
      </x:c>
      <x:c r="H80" s="11" t="str">
        <x:v>n.d.</x:v>
      </x:c>
      <x:c r="I80" s="11" t="n">
        <x:v>0</x:v>
      </x:c>
      <x:c r="J80" s="11" t="n">
        <x:v>1.39</x:v>
      </x:c>
      <x:c r="K80" s="2" t="str">
        <x:v>2025 localizado</x:v>
      </x:c>
      <x:c r="L80" s="2" t="str">
        <x:v>VE/EBITDA y VE/ventas no se usan en la mediana de bancos y seguros. Múltiplos no positivos excluidos de medianas.</x:v>
      </x:c>
      <x:c r="M80" s="2"/>
      <x:c r="N80" s="2" t="str">
        <x:v>https://es.marketscreener.com/cotizacion/accion/MAPFRE-S-A-195228/valoracion/</x:v>
      </x:c>
    </x:row>
    <x:row r="81" ht="32" customHeight="1">
      <x:c r="A81" s="8" t="str">
        <x:v>RENTA 4 BANCO, S.A.</x:v>
      </x:c>
      <x:c r="B81" s="8" t="str">
        <x:v>ES0173358039</x:v>
      </x:c>
      <x:c r="C81" s="8" t="str">
        <x:v>Servicios Financieros</x:v>
      </x:c>
      <x:c r="D81" s="8" t="str">
        <x:v>Servicios de Inversión</x:v>
      </x:c>
      <x:c r="E81" s="8" t="str">
        <x:v>Diciembre</x:v>
      </x:c>
      <x:c r="F81" s="12" t="n">
        <x:v>46078</x:v>
      </x:c>
      <x:c r="G81" s="11" t="n">
        <x:v>19.2</x:v>
      </x:c>
      <x:c r="H81" s="11" t="str">
        <x:v>n.d.</x:v>
      </x:c>
      <x:c r="I81" s="11" t="n">
        <x:v>-1.36</x:v>
      </x:c>
      <x:c r="J81" s="11" t="n">
        <x:v>4.65</x:v>
      </x:c>
      <x:c r="K81" s="2" t="str">
        <x:v>2025 localizado</x:v>
      </x:c>
      <x:c r="L81" s="2" t="str">
        <x:v>Múltiplos no positivos excluidos de medianas.</x:v>
      </x:c>
      <x:c r="M81" s="2"/>
      <x:c r="N81" s="2" t="str">
        <x:v>https://es.marketscreener.com/cotizacion/accion/RENTA-4-BANCO-S-A-3728066/valoracion/</x:v>
      </x:c>
    </x:row>
    <x:row r="82" ht="32" customHeight="1">
      <x:c r="A82" s="8" t="str">
        <x:v>AEDAS HOMES, S.A.</x:v>
      </x:c>
      <x:c r="B82" s="8" t="str">
        <x:v>ES0105287009</x:v>
      </x:c>
      <x:c r="C82" s="8" t="str">
        <x:v>Servicios Inmobiliarios</x:v>
      </x:c>
      <x:c r="D82" s="8" t="str">
        <x:v>Inmobiliarias y Otros</x:v>
      </x:c>
      <x:c r="E82" s="8" t="str">
        <x:v>Marzo</x:v>
      </x:c>
      <x:c r="F82" s="12" t="n">
        <x:v>45805</x:v>
      </x:c>
      <x:c r="G82" s="11" t="n">
        <x:v>7.55</x:v>
      </x:c>
      <x:c r="H82" s="11" t="n">
        <x:v>8.5</x:v>
      </x:c>
      <x:c r="I82" s="11" t="n">
        <x:v>1.21</x:v>
      </x:c>
      <x:c r="J82" s="11" t="n">
        <x:v>1.15</x:v>
      </x:c>
      <x:c r="K82" s="2" t="str">
        <x:v>2025 localizado</x:v>
      </x:c>
      <x:c r="L82" s="2" t="str">
        <x:v>Cierre fiscal Marzo.</x:v>
      </x:c>
      <x:c r="M82" s="2"/>
      <x:c r="N82" s="2" t="str">
        <x:v>https://es.marketscreener.com/cotizacion/accion/AEDAS-HOMES-S-A-38183500/valoracion/</x:v>
      </x:c>
    </x:row>
    <x:row r="83" ht="32" customHeight="1">
      <x:c r="A83" s="8" t="str">
        <x:v>CIA. ESPAÑOLA  VIVIENDAS EN ALQUILER,S.A</x:v>
      </x:c>
      <x:c r="B83" s="8" t="str">
        <x:v>ES0132955008</x:v>
      </x:c>
      <x:c r="C83" s="8" t="str">
        <x:v>Servicios Inmobiliarios</x:v>
      </x:c>
      <x:c r="D83" s="8" t="str">
        <x:v>Inmobiliarias y Otros</x:v>
      </x:c>
      <x:c r="E83" s="8" t="str">
        <x:v>Diciembre</x:v>
      </x:c>
      <x:c r="F83" s="12" t="n">
        <x:v>46106</x:v>
      </x:c>
      <x:c r="G83" s="11" t="n">
        <x:v>6.38</x:v>
      </x:c>
      <x:c r="H83" s="11" t="n">
        <x:v>14.8</x:v>
      </x:c>
      <x:c r="I83" s="11" t="n">
        <x:v>10.3</x:v>
      </x:c>
      <x:c r="J83" s="11" t="str">
        <x:v>n.d.</x:v>
      </x:c>
      <x:c r="K83" s="2" t="str">
        <x:v>2025 localizado</x:v>
      </x:c>
      <x:c r="L83" s="2" t="str"/>
      <x:c r="M83" s="2"/>
      <x:c r="N83" s="2" t="str">
        <x:v>https://es.marketscreener.com/cotizacion/accion/COMPA-A-ESPA-OLA-DE-VIVIE-58002375/valoracion/</x:v>
      </x:c>
    </x:row>
    <x:row r="84" ht="32" customHeight="1">
      <x:c r="A84" s="8" t="str">
        <x:v>INMOBILIARIA DEL SUR, S.A.</x:v>
      </x:c>
      <x:c r="B84" s="8" t="str">
        <x:v>ES0154653911</x:v>
      </x:c>
      <x:c r="C84" s="8" t="str">
        <x:v>Servicios Inmobiliarios</x:v>
      </x:c>
      <x:c r="D84" s="8" t="str">
        <x:v>Inmobiliarias y Otros</x:v>
      </x:c>
      <x:c r="E84" s="8" t="str">
        <x:v>Diciembre</x:v>
      </x:c>
      <x:c r="F84" s="12" t="n">
        <x:v>46079</x:v>
      </x:c>
      <x:c r="G84" s="11" t="n">
        <x:v>6.74</x:v>
      </x:c>
      <x:c r="H84" s="11" t="n">
        <x:v>8.68</x:v>
      </x:c>
      <x:c r="I84" s="11" t="n">
        <x:v>1.75</x:v>
      </x:c>
      <x:c r="J84" s="11" t="str">
        <x:v>n.d.</x:v>
      </x:c>
      <x:c r="K84" s="2" t="str">
        <x:v>2025 localizado</x:v>
      </x:c>
      <x:c r="L84" s="2" t="str"/>
      <x:c r="M84" s="2"/>
      <x:c r="N84" s="2" t="str">
        <x:v>https://es.marketscreener.com/cotizacion/accion/INMOBILIARIA-DEL-SUR-S-A-187708/valoracion/</x:v>
      </x:c>
    </x:row>
    <x:row r="85" ht="32" customHeight="1">
      <x:c r="A85" s="8" t="str">
        <x:v>LIBERTAS 7, S.A.</x:v>
      </x:c>
      <x:c r="B85" s="8" t="str">
        <x:v>ES0137998A12</x:v>
      </x:c>
      <x:c r="C85" s="8" t="str">
        <x:v>Servicios Inmobiliarios</x:v>
      </x:c>
      <x:c r="D85" s="8" t="str">
        <x:v>Inmobiliarias y Otros</x:v>
      </x:c>
      <x:c r="E85" s="8" t="str">
        <x:v>Diciembre</x:v>
      </x:c>
      <x:c r="F85" s="12" t="n">
        <x:v>46079</x:v>
      </x:c>
      <x:c r="G85" s="11" t="n">
        <x:v>15</x:v>
      </x:c>
      <x:c r="H85" s="11" t="n">
        <x:v>11.8</x:v>
      </x:c>
      <x:c r="I85" s="11" t="n">
        <x:v>4.61</x:v>
      </x:c>
      <x:c r="J85" s="11" t="str">
        <x:v>n.d.</x:v>
      </x:c>
      <x:c r="K85" s="2" t="str">
        <x:v>2025 localizado</x:v>
      </x:c>
      <x:c r="L85" s="2" t="str"/>
      <x:c r="M85" s="2"/>
      <x:c r="N85" s="2" t="str">
        <x:v>https://es.marketscreener.com/cotizacion/accion/LIBERTAS-7-S-A-118501041/valoracion/</x:v>
      </x:c>
    </x:row>
    <x:row r="86" ht="32" customHeight="1">
      <x:c r="A86" s="8" t="str">
        <x:v>METROVACESA, S.A.</x:v>
      </x:c>
      <x:c r="B86" s="8" t="str">
        <x:v>ES0105122024</x:v>
      </x:c>
      <x:c r="C86" s="8" t="str">
        <x:v>Servicios Inmobiliarios</x:v>
      </x:c>
      <x:c r="D86" s="8" t="str">
        <x:v>Inmobiliarias y Otros</x:v>
      </x:c>
      <x:c r="E86" s="8" t="str">
        <x:v>Diciembre</x:v>
      </x:c>
      <x:c r="F86" s="12" t="n">
        <x:v>46076</x:v>
      </x:c>
      <x:c r="G86" s="11" t="n">
        <x:v>25</x:v>
      </x:c>
      <x:c r="H86" s="11" t="n">
        <x:v>13.5</x:v>
      </x:c>
      <x:c r="I86" s="11" t="n">
        <x:v>2.43</x:v>
      </x:c>
      <x:c r="J86" s="11" t="str">
        <x:v>n.d.</x:v>
      </x:c>
      <x:c r="K86" s="2" t="str">
        <x:v>2025 localizado</x:v>
      </x:c>
      <x:c r="L86" s="2" t="str"/>
      <x:c r="M86" s="2"/>
      <x:c r="N86" s="2" t="str">
        <x:v>https://es.marketscreener.com/cotizacion/accion/METROVACESA-S-A-40601524/valoracion/</x:v>
      </x:c>
    </x:row>
    <x:row r="87" ht="32" customHeight="1">
      <x:c r="A87" s="8" t="str">
        <x:v>MONTEBALITO, S.A.</x:v>
      </x:c>
      <x:c r="B87" s="8" t="str">
        <x:v>ES0116494016</x:v>
      </x:c>
      <x:c r="C87" s="8" t="str">
        <x:v>Servicios Inmobiliarios</x:v>
      </x:c>
      <x:c r="D87" s="8" t="str">
        <x:v>Inmobiliarias y Otros</x:v>
      </x:c>
      <x:c r="E87" s="8" t="str">
        <x:v>Diciembre</x:v>
      </x:c>
      <x:c r="F87" s="12" t="n">
        <x:v>46141</x:v>
      </x:c>
      <x:c r="G87" s="11" t="n">
        <x:v>15.5</x:v>
      </x:c>
      <x:c r="H87" s="11" t="n">
        <x:v>13.8</x:v>
      </x:c>
      <x:c r="I87" s="11" t="n">
        <x:v>7.71</x:v>
      </x:c>
      <x:c r="J87" s="11" t="n">
        <x:v>0.69</x:v>
      </x:c>
      <x:c r="K87" s="2" t="str">
        <x:v>2025 localizado</x:v>
      </x:c>
      <x:c r="L87" s="2" t="str"/>
      <x:c r="M87" s="2"/>
      <x:c r="N87" s="2" t="str">
        <x:v>https://es.marketscreener.com/cotizacion/accion/MONTEBALITO-S-A-74194/valoracion/</x:v>
      </x:c>
    </x:row>
    <x:row r="88" ht="32" customHeight="1">
      <x:c r="A88" s="8" t="str">
        <x:v>NEINOR HOMES, S.A.</x:v>
      </x:c>
      <x:c r="B88" s="8" t="str">
        <x:v>ES0105251005</x:v>
      </x:c>
      <x:c r="C88" s="8" t="str">
        <x:v>Servicios Inmobiliarios</x:v>
      </x:c>
      <x:c r="D88" s="8" t="str">
        <x:v>Inmobiliarias y Otros</x:v>
      </x:c>
      <x:c r="E88" s="8" t="str">
        <x:v>Diciembre</x:v>
      </x:c>
      <x:c r="F88" s="12" t="n">
        <x:v>46078</x:v>
      </x:c>
      <x:c r="G88" s="11" t="n">
        <x:v>13</x:v>
      </x:c>
      <x:c r="H88" s="11" t="n">
        <x:v>23.6</x:v>
      </x:c>
      <x:c r="I88" s="11" t="n">
        <x:v>3.69</x:v>
      </x:c>
      <x:c r="J88" s="11" t="n">
        <x:v>1.38</x:v>
      </x:c>
      <x:c r="K88" s="2" t="str">
        <x:v>2025 localizado</x:v>
      </x:c>
      <x:c r="L88" s="2" t="str"/>
      <x:c r="M88" s="2"/>
      <x:c r="N88" s="2" t="str">
        <x:v>https://es.marketscreener.com/cotizacion/accion/NEINOR-HOMES-S-A-34430291/valoracion/</x:v>
      </x:c>
    </x:row>
    <x:row r="89" ht="32" customHeight="1">
      <x:c r="A89" s="8" t="str">
        <x:v>NYESA VALORES CORPORACION, S.A.</x:v>
      </x:c>
      <x:c r="B89" s="8" t="str">
        <x:v>ES0150480194</x:v>
      </x:c>
      <x:c r="C89" s="8" t="str">
        <x:v>Servicios Inmobiliarios</x:v>
      </x:c>
      <x:c r="D89" s="8" t="str">
        <x:v>Inmobiliarias y Otros</x:v>
      </x:c>
      <x:c r="E89" s="8" t="str">
        <x:v>Diciembre</x:v>
      </x:c>
      <x:c r="F89" s="12" t="n">
        <x:v>46140</x:v>
      </x:c>
      <x:c r="G89" s="11" t="n">
        <x:v>96.3</x:v>
      </x:c>
      <x:c r="H89" s="11" t="n">
        <x:v>22.9</x:v>
      </x:c>
      <x:c r="I89" s="11" t="n">
        <x:v>4.34</x:v>
      </x:c>
      <x:c r="J89" s="11" t="n">
        <x:v>1.79</x:v>
      </x:c>
      <x:c r="K89" s="2" t="str">
        <x:v>2025 localizado</x:v>
      </x:c>
      <x:c r="L89" s="2" t="str"/>
      <x:c r="M89" s="2"/>
      <x:c r="N89" s="2" t="str">
        <x:v>https://es.marketscreener.com/cotizacion/accion/NYESA-VALORES-CORPORACI-N-74529/valoracion/</x:v>
      </x:c>
    </x:row>
    <x:row r="90" ht="32" customHeight="1">
      <x:c r="A90" s="8" t="str">
        <x:v>REALIA BUSINESS, S.A.</x:v>
      </x:c>
      <x:c r="B90" s="8" t="str">
        <x:v>ES0173908015</x:v>
      </x:c>
      <x:c r="C90" s="8" t="str">
        <x:v>Servicios Inmobiliarios</x:v>
      </x:c>
      <x:c r="D90" s="8" t="str">
        <x:v>Inmobiliarias y Otros</x:v>
      </x:c>
      <x:c r="E90" s="8" t="str">
        <x:v>Diciembre</x:v>
      </x:c>
      <x:c r="F90" s="12" t="n">
        <x:v>46077</x:v>
      </x:c>
      <x:c r="G90" s="11" t="n">
        <x:v>17.9</x:v>
      </x:c>
      <x:c r="H90" s="11" t="str">
        <x:v>n.d.</x:v>
      </x:c>
      <x:c r="I90" s="11" t="str">
        <x:v>n.d.</x:v>
      </x:c>
      <x:c r="J90" s="11" t="str">
        <x:v>n.d.</x:v>
      </x:c>
      <x:c r="K90" s="2" t="str">
        <x:v>2025 localizado</x:v>
      </x:c>
      <x:c r="L90" s="2" t="str"/>
      <x:c r="M90" s="2"/>
      <x:c r="N90" s="2" t="str">
        <x:v>https://es.marketscreener.com/cotizacion/accion/REALIA-BUSINESS-S-A-264952/valoracion/</x:v>
      </x:c>
    </x:row>
    <x:row r="91" ht="32" customHeight="1">
      <x:c r="A91" s="8" t="str">
        <x:v>RENTA CORPORACION REAL ESTATE, S.A.</x:v>
      </x:c>
      <x:c r="B91" s="8" t="str">
        <x:v>ES0173365018</x:v>
      </x:c>
      <x:c r="C91" s="8" t="str">
        <x:v>Servicios Inmobiliarios</x:v>
      </x:c>
      <x:c r="D91" s="8" t="str">
        <x:v>Inmobiliarias y Otros</x:v>
      </x:c>
      <x:c r="E91" s="8" t="str">
        <x:v>Diciembre</x:v>
      </x:c>
      <x:c r="F91" s="12" t="n">
        <x:v>46079</x:v>
      </x:c>
      <x:c r="G91" s="11" t="n">
        <x:v>9.1</x:v>
      </x:c>
      <x:c r="H91" s="11" t="n">
        <x:v>4.52</x:v>
      </x:c>
      <x:c r="I91" s="11" t="n">
        <x:v>0.41</x:v>
      </x:c>
      <x:c r="J91" s="11" t="n">
        <x:v>0.36</x:v>
      </x:c>
      <x:c r="K91" s="2" t="str">
        <x:v>2025 localizado</x:v>
      </x:c>
      <x:c r="L91" s="2" t="str"/>
      <x:c r="M91" s="2"/>
      <x:c r="N91" s="2" t="str">
        <x:v>https://es.marketscreener.com/cotizacion/accion/RENTA-CORPORACI-N-REAL-ES-176705/valoracion/</x:v>
      </x:c>
    </x:row>
    <x:row r="92" ht="32" customHeight="1">
      <x:c r="A92" s="8" t="str">
        <x:v>URBAS GRUPO FINANCIERO, S.A.</x:v>
      </x:c>
      <x:c r="B92" s="8" t="str">
        <x:v>ES0182280018</x:v>
      </x:c>
      <x:c r="C92" s="8" t="str">
        <x:v>Servicios Inmobiliarios</x:v>
      </x:c>
      <x:c r="D92" s="8" t="str">
        <x:v>Inmobiliarias y Otros</x:v>
      </x:c>
      <x:c r="E92" s="8" t="str">
        <x:v>Diciembre</x:v>
      </x:c>
      <x:c r="F92" s="12" t="str">
        <x:v>n.d.</x:v>
      </x:c>
      <x:c r="G92" s="11" t="str">
        <x:v>n.d.</x:v>
      </x:c>
      <x:c r="H92" s="11" t="str">
        <x:v>n.d.</x:v>
      </x:c>
      <x:c r="I92" s="11" t="str">
        <x:v>n.d.</x:v>
      </x:c>
      <x:c r="J92" s="11" t="str">
        <x:v>n.d.</x:v>
      </x:c>
      <x:c r="K92" s="2" t="str">
        <x:v>Sin columna 2025</x:v>
      </x:c>
      <x:c r="L92" s="2" t="str"/>
      <x:c r="M92" s="2"/>
      <x:c r="N92" s="2" t="str">
        <x:v>https://es.marketscreener.com/cotizacion/accion/URBAS-GRUPO-FINANCIERO-S--75200/valoracion/</x:v>
      </x:c>
    </x:row>
    <x:row r="93" ht="32" customHeight="1">
      <x:c r="A93" s="8" t="str">
        <x:v>COLONIAL SFL, SOCIMI, S.A.</x:v>
      </x:c>
      <x:c r="B93" s="8" t="str">
        <x:v>ES0139140174</x:v>
      </x:c>
      <x:c r="C93" s="8" t="str">
        <x:v>Servicios Inmobiliarios</x:v>
      </x:c>
      <x:c r="D93" s="8" t="str">
        <x:v>SOCIMI</x:v>
      </x:c>
      <x:c r="E93" s="8" t="str">
        <x:v>Diciembre</x:v>
      </x:c>
      <x:c r="F93" s="12" t="n">
        <x:v>46078</x:v>
      </x:c>
      <x:c r="G93" s="11" t="n">
        <x:v>9.76</x:v>
      </x:c>
      <x:c r="H93" s="11" t="n">
        <x:v>25</x:v>
      </x:c>
      <x:c r="I93" s="11" t="n">
        <x:v>20.8</x:v>
      </x:c>
      <x:c r="J93" s="11" t="n">
        <x:v>0.58</x:v>
      </x:c>
      <x:c r="K93" s="2" t="str">
        <x:v>2025 localizado</x:v>
      </x:c>
      <x:c r="L93" s="2" t="str"/>
      <x:c r="M93" s="2"/>
      <x:c r="N93" s="2" t="str">
        <x:v>https://es.marketscreener.com/cotizacion/accion/COLONIAL-SFL-SOCIMI-S-A-30340922/valoracion/</x:v>
      </x:c>
    </x:row>
    <x:row r="94" ht="32" customHeight="1">
      <x:c r="A94" s="8" t="str">
        <x:v>MERLIN PROPERTIES, SOCIMI, S.A.</x:v>
      </x:c>
      <x:c r="B94" s="8" t="str">
        <x:v>ES0105025003</x:v>
      </x:c>
      <x:c r="C94" s="8" t="str">
        <x:v>Servicios Inmobiliarios</x:v>
      </x:c>
      <x:c r="D94" s="8" t="str">
        <x:v>SOCIMI</x:v>
      </x:c>
      <x:c r="E94" s="8" t="str">
        <x:v>Diciembre</x:v>
      </x:c>
      <x:c r="F94" s="12" t="n">
        <x:v>46078</x:v>
      </x:c>
      <x:c r="G94" s="11" t="n">
        <x:v>8.88</x:v>
      </x:c>
      <x:c r="H94" s="11" t="n">
        <x:v>26.9</x:v>
      </x:c>
      <x:c r="I94" s="11" t="n">
        <x:v>19.8</x:v>
      </x:c>
      <x:c r="J94" s="11" t="n">
        <x:v>0.87</x:v>
      </x:c>
      <x:c r="K94" s="2" t="str">
        <x:v>2025 localizado</x:v>
      </x:c>
      <x:c r="L94" s="2" t="str"/>
      <x:c r="M94" s="2"/>
      <x:c r="N94" s="2" t="str">
        <x:v>https://es.marketscreener.com/cotizacion/accion/MERLIN-PROPERTIES-SOCIMI--16796079/valoracion/</x:v>
      </x:c>
    </x:row>
    <x:row r="95" ht="32" customHeight="1">
      <x:c r="A95" s="8" t="str">
        <x:v>ÁRIMA REAL ESTATE SOCIMI, S.A.</x:v>
      </x:c>
      <x:c r="B95" s="8" t="str">
        <x:v>ES0105376059</x:v>
      </x:c>
      <x:c r="C95" s="8" t="str">
        <x:v>Servicios Inmobiliarios</x:v>
      </x:c>
      <x:c r="D95" s="8" t="str">
        <x:v>SOCIMI</x:v>
      </x:c>
      <x:c r="E95" s="8" t="str">
        <x:v>Diciembre</x:v>
      </x:c>
      <x:c r="F95" s="12" t="n">
        <x:v>46080</x:v>
      </x:c>
      <x:c r="G95" s="11" t="n">
        <x:v>28.3</x:v>
      </x:c>
      <x:c r="H95" s="11" t="n">
        <x:v>31.6</x:v>
      </x:c>
      <x:c r="I95" s="11" t="n">
        <x:v>19.3</x:v>
      </x:c>
      <x:c r="J95" s="11" t="n">
        <x:v>0.72</x:v>
      </x:c>
      <x:c r="K95" s="2" t="str">
        <x:v>2025 localizado</x:v>
      </x:c>
      <x:c r="L95" s="2" t="str"/>
      <x:c r="M95" s="2"/>
      <x:c r="N95" s="2" t="str">
        <x:v>https://es.marketscreener.com/cotizacion/accion/-RIMA-REAL-ESTATE-SOCIMI--46736817/valoracion/</x:v>
      </x:c>
    </x:row>
    <x:row r="96" ht="32" customHeight="1">
      <x:c r="A96" s="8" t="str">
        <x:v>DIA-DISTRIBUIDORA INT. DE ALIMENT. S.A.</x:v>
      </x:c>
      <x:c r="B96" s="8" t="str">
        <x:v>ES0126775008</x:v>
      </x:c>
      <x:c r="C96" s="8" t="str">
        <x:v>Servicios de Consumo</x:v>
      </x:c>
      <x:c r="D96" s="8" t="str">
        <x:v>Comercio</x:v>
      </x:c>
      <x:c r="E96" s="8" t="str">
        <x:v>Diciembre</x:v>
      </x:c>
      <x:c r="F96" s="12" t="n">
        <x:v>46079</x:v>
      </x:c>
      <x:c r="G96" s="11" t="n">
        <x:v>16.5</x:v>
      </x:c>
      <x:c r="H96" s="11" t="n">
        <x:v>5.95</x:v>
      </x:c>
      <x:c r="I96" s="11" t="n">
        <x:v>0.48</x:v>
      </x:c>
      <x:c r="J96" s="11" t="n">
        <x:v>17</x:v>
      </x:c>
      <x:c r="K96" s="2" t="str">
        <x:v>2025 localizado</x:v>
      </x:c>
      <x:c r="L96" s="2" t="str"/>
      <x:c r="M96" s="2"/>
      <x:c r="N96" s="2" t="str">
        <x:v>https://es.marketscreener.com/cotizacion/accion/DISTRIBUIDORA-INTERNACION-8322842/valoracion/</x:v>
      </x:c>
    </x:row>
    <x:row r="97" ht="32" customHeight="1">
      <x:c r="A97" s="8" t="str">
        <x:v>INNOVATIVE SOLUTIONS ECOSYSTEM, S.A.</x:v>
      </x:c>
      <x:c r="B97" s="8" t="str">
        <x:v>ES0143421073</x:v>
      </x:c>
      <x:c r="C97" s="8" t="str">
        <x:v>Servicios de Consumo</x:v>
      </x:c>
      <x:c r="D97" s="8" t="str">
        <x:v>Comercio</x:v>
      </x:c>
      <x:c r="E97" s="8" t="str">
        <x:v>Junio</x:v>
      </x:c>
      <x:c r="F97" s="12" t="n">
        <x:v>46066</x:v>
      </x:c>
      <x:c r="G97" s="11" t="n">
        <x:v>-48.4</x:v>
      </x:c>
      <x:c r="H97" s="11" t="n">
        <x:v>-159</x:v>
      </x:c>
      <x:c r="I97" s="11" t="n">
        <x:v>3077</x:v>
      </x:c>
      <x:c r="J97" s="11" t="n">
        <x:v>-6.49</x:v>
      </x:c>
      <x:c r="K97" s="2" t="str">
        <x:v>2025 localizado</x:v>
      </x:c>
      <x:c r="L97" s="2" t="str">
        <x:v>Cierre fiscal Junio. Múltiplos no positivos excluidos de medianas.</x:v>
      </x:c>
      <x:c r="M97" s="2"/>
      <x:c r="N97" s="2" t="str">
        <x:v>https://es.marketscreener.com/cotizacion/accion/INNOVATIVE-SOLUTIONS-ECOS-36717822/valoracion/</x:v>
      </x:c>
    </x:row>
    <x:row r="98" ht="32" customHeight="1">
      <x:c r="A98" s="8" t="str">
        <x:v>ATRESMEDIA CORP. DE MEDIOS DE COM. S.A.</x:v>
      </x:c>
      <x:c r="B98" s="8" t="str">
        <x:v>ES0109427734</x:v>
      </x:c>
      <x:c r="C98" s="8" t="str">
        <x:v>Servicios de Consumo</x:v>
      </x:c>
      <x:c r="D98" s="8" t="str">
        <x:v>Medios de Comunicación y Publicidad</x:v>
      </x:c>
      <x:c r="E98" s="8" t="str">
        <x:v>Diciembre</x:v>
      </x:c>
      <x:c r="F98" s="12" t="n">
        <x:v>46078</x:v>
      </x:c>
      <x:c r="G98" s="11" t="n">
        <x:v>17.4</x:v>
      </x:c>
      <x:c r="H98" s="11" t="n">
        <x:v>11.8</x:v>
      </x:c>
      <x:c r="I98" s="11" t="n">
        <x:v>1.03</x:v>
      </x:c>
      <x:c r="J98" s="11" t="n">
        <x:v>1.5</x:v>
      </x:c>
      <x:c r="K98" s="2" t="str">
        <x:v>2025 localizado</x:v>
      </x:c>
      <x:c r="L98" s="2" t="str"/>
      <x:c r="M98" s="2"/>
      <x:c r="N98" s="2" t="str">
        <x:v>https://es.marketscreener.com/cotizacion/accion/ATRESMEDIA-159185/valoracion/</x:v>
      </x:c>
    </x:row>
    <x:row r="99" ht="32" customHeight="1">
      <x:c r="A99" s="8" t="str">
        <x:v>PROMOTORA DE INFORMACIONES,S.A.</x:v>
      </x:c>
      <x:c r="B99" s="8" t="str">
        <x:v>ES01717430J3</x:v>
      </x:c>
      <x:c r="C99" s="8" t="str">
        <x:v>Servicios de Consumo</x:v>
      </x:c>
      <x:c r="D99" s="8" t="str">
        <x:v>Medios de Comunicación y Publicidad</x:v>
      </x:c>
      <x:c r="E99" s="8" t="str">
        <x:v>Diciembre</x:v>
      </x:c>
      <x:c r="F99" s="12" t="n">
        <x:v>46077</x:v>
      </x:c>
      <x:c r="G99" s="11" t="n">
        <x:v>-17.8</x:v>
      </x:c>
      <x:c r="H99" s="11" t="n">
        <x:v>7.33</x:v>
      </x:c>
      <x:c r="I99" s="11" t="n">
        <x:v>1.32</x:v>
      </x:c>
      <x:c r="J99" s="11" t="n">
        <x:v>-1.37</x:v>
      </x:c>
      <x:c r="K99" s="2" t="str">
        <x:v>2025 localizado</x:v>
      </x:c>
      <x:c r="L99" s="2" t="str">
        <x:v>Múltiplos no positivos excluidos de medianas.</x:v>
      </x:c>
      <x:c r="M99" s="2"/>
      <x:c r="N99" s="2" t="str">
        <x:v>https://es.marketscreener.com/cotizacion/accion/PROMOTORA-DE-INFORMACIONE-22283933/valoracion/</x:v>
      </x:c>
    </x:row>
    <x:row r="100" ht="32" customHeight="1">
      <x:c r="A100" s="8" t="str">
        <x:v>SQUIRREL MEDIA, S.A</x:v>
      </x:c>
      <x:c r="B100" s="8" t="str">
        <x:v>ES0183304080</x:v>
      </x:c>
      <x:c r="C100" s="8" t="str">
        <x:v>Servicios de Consumo</x:v>
      </x:c>
      <x:c r="D100" s="8" t="str">
        <x:v>Medios de Comunicación y Publicidad</x:v>
      </x:c>
      <x:c r="E100" s="8" t="str">
        <x:v>Diciembre</x:v>
      </x:c>
      <x:c r="F100" s="12" t="n">
        <x:v>46077</x:v>
      </x:c>
      <x:c r="G100" s="11" t="n">
        <x:v>35.5</x:v>
      </x:c>
      <x:c r="H100" s="11" t="n">
        <x:v>9.99</x:v>
      </x:c>
      <x:c r="I100" s="11" t="n">
        <x:v>1.07</x:v>
      </x:c>
      <x:c r="J100" s="11" t="n">
        <x:v>3</x:v>
      </x:c>
      <x:c r="K100" s="2" t="str">
        <x:v>2025 localizado</x:v>
      </x:c>
      <x:c r="L100" s="2" t="str"/>
      <x:c r="M100" s="2"/>
      <x:c r="N100" s="2" t="str">
        <x:v>https://es.marketscreener.com/cotizacion/accion/SQUIRREL-MEDIA-S-A-759694/valoracion/</x:v>
      </x:c>
    </x:row>
    <x:row r="101" ht="32" customHeight="1">
      <x:c r="A101" s="8" t="str">
        <x:v>VOCENTO, S.A.</x:v>
      </x:c>
      <x:c r="B101" s="8" t="str">
        <x:v>ES0114820113</x:v>
      </x:c>
      <x:c r="C101" s="8" t="str">
        <x:v>Servicios de Consumo</x:v>
      </x:c>
      <x:c r="D101" s="8" t="str">
        <x:v>Medios de Comunicación y Publicidad</x:v>
      </x:c>
      <x:c r="E101" s="8" t="str">
        <x:v>Diciembre</x:v>
      </x:c>
      <x:c r="F101" s="12" t="n">
        <x:v>46078</x:v>
      </x:c>
      <x:c r="G101" s="11" t="n">
        <x:v>11.5</x:v>
      </x:c>
      <x:c r="H101" s="11" t="n">
        <x:v>6.41</x:v>
      </x:c>
      <x:c r="I101" s="11" t="n">
        <x:v>0.33</x:v>
      </x:c>
      <x:c r="J101" s="11" t="n">
        <x:v>0.78</x:v>
      </x:c>
      <x:c r="K101" s="2" t="str">
        <x:v>2025 localizado</x:v>
      </x:c>
      <x:c r="L101" s="2" t="str"/>
      <x:c r="M101" s="2"/>
      <x:c r="N101" s="2" t="str">
        <x:v>https://es.marketscreener.com/cotizacion/accion/VOCENTO-S-A-168602/valoracion/</x:v>
      </x:c>
    </x:row>
    <x:row r="102" ht="32" customHeight="1">
      <x:c r="A102" s="8" t="str">
        <x:v>AMREST HOLDINGS, S.E.</x:v>
      </x:c>
      <x:c r="B102" s="8" t="str">
        <x:v>ES0105375002</x:v>
      </x:c>
      <x:c r="C102" s="8" t="str">
        <x:v>Servicios de Consumo</x:v>
      </x:c>
      <x:c r="D102" s="8" t="str">
        <x:v>Ocio, Turismo y Hostelería</x:v>
      </x:c>
      <x:c r="E102" s="8" t="str">
        <x:v>Diciembre</x:v>
      </x:c>
      <x:c r="F102" s="12" t="n">
        <x:v>46078</x:v>
      </x:c>
      <x:c r="G102" s="11" t="n">
        <x:v>45.4</x:v>
      </x:c>
      <x:c r="H102" s="11" t="n">
        <x:v>5.18</x:v>
      </x:c>
      <x:c r="I102" s="11" t="n">
        <x:v>0.84</x:v>
      </x:c>
      <x:c r="J102" s="11" t="n">
        <x:v>1.83</x:v>
      </x:c>
      <x:c r="K102" s="2" t="str">
        <x:v>2025 localizado</x:v>
      </x:c>
      <x:c r="L102" s="2" t="str"/>
      <x:c r="M102" s="2"/>
      <x:c r="N102" s="2" t="str">
        <x:v>https://es.marketscreener.com/cotizacion/accion/AMREST-HOLDINGS-SE-6498610/valoracion/</x:v>
      </x:c>
    </x:row>
    <x:row r="103" ht="32" customHeight="1">
      <x:c r="A103" s="8" t="str">
        <x:v>CIRSA ENTERPRISES, S.A</x:v>
      </x:c>
      <x:c r="B103" s="8" t="str">
        <x:v>ES0105884011</x:v>
      </x:c>
      <x:c r="C103" s="8" t="str">
        <x:v>Servicios de Consumo</x:v>
      </x:c>
      <x:c r="D103" s="8" t="str">
        <x:v>Ocio, Turismo y Hostelería</x:v>
      </x:c>
      <x:c r="E103" s="8" t="str">
        <x:v>Diciembre</x:v>
      </x:c>
      <x:c r="F103" s="12" t="n">
        <x:v>46078</x:v>
      </x:c>
      <x:c r="G103" s="11" t="n">
        <x:v>31.5</x:v>
      </x:c>
      <x:c r="H103" s="11" t="n">
        <x:v>6.07</x:v>
      </x:c>
      <x:c r="I103" s="11" t="n">
        <x:v>1.94</x:v>
      </x:c>
      <x:c r="J103" s="11" t="n">
        <x:v>3.21</x:v>
      </x:c>
      <x:c r="K103" s="2" t="str">
        <x:v>2025 localizado</x:v>
      </x:c>
      <x:c r="L103" s="2" t="str"/>
      <x:c r="M103" s="2"/>
      <x:c r="N103" s="2" t="str">
        <x:v>https://es.marketscreener.com/cotizacion/accion/CIRSA-ENTERPRISES-S-A-191730419/valoracion/</x:v>
      </x:c>
    </x:row>
    <x:row r="104" ht="32" customHeight="1">
      <x:c r="A104" s="8" t="str">
        <x:v>MELIA HOTELS INTERNATIONAL, S.A.</x:v>
      </x:c>
      <x:c r="B104" s="8" t="str">
        <x:v>ES0176252718</x:v>
      </x:c>
      <x:c r="C104" s="8" t="str">
        <x:v>Servicios de Consumo</x:v>
      </x:c>
      <x:c r="D104" s="8" t="str">
        <x:v>Ocio, Turismo y Hostelería</x:v>
      </x:c>
      <x:c r="E104" s="8" t="str">
        <x:v>Diciembre</x:v>
      </x:c>
      <x:c r="F104" s="12" t="n">
        <x:v>46078</x:v>
      </x:c>
      <x:c r="G104" s="11" t="n">
        <x:v>10.3</x:v>
      </x:c>
      <x:c r="H104" s="11" t="n">
        <x:v>7</x:v>
      </x:c>
      <x:c r="I104" s="11" t="n">
        <x:v>1.88</x:v>
      </x:c>
      <x:c r="J104" s="11" t="n">
        <x:v>2.07</x:v>
      </x:c>
      <x:c r="K104" s="2" t="str">
        <x:v>2025 localizado</x:v>
      </x:c>
      <x:c r="L104" s="2" t="str"/>
      <x:c r="M104" s="2"/>
      <x:c r="N104" s="2" t="str">
        <x:v>https://es.marketscreener.com/cotizacion/accion/MELI-HOTELS-INTERNATIONAL-75117/valoracion/</x:v>
      </x:c>
    </x:row>
    <x:row r="105" ht="32" customHeight="1">
      <x:c r="A105" s="8" t="str">
        <x:v>CASH, S.A.</x:v>
      </x:c>
      <x:c r="B105" s="8" t="str">
        <x:v>ES0105229001</x:v>
      </x:c>
      <x:c r="C105" s="8" t="str">
        <x:v>Servicios de Consumo</x:v>
      </x:c>
      <x:c r="D105" s="8" t="str">
        <x:v>Otros Servicios</x:v>
      </x:c>
      <x:c r="E105" s="8" t="str">
        <x:v>Diciembre</x:v>
      </x:c>
      <x:c r="F105" s="12" t="n">
        <x:v>46079</x:v>
      </x:c>
      <x:c r="G105" s="11" t="n">
        <x:v>10.6</x:v>
      </x:c>
      <x:c r="H105" s="11" t="n">
        <x:v>5.07</x:v>
      </x:c>
      <x:c r="I105" s="11" t="n">
        <x:v>0.9</x:v>
      </x:c>
      <x:c r="J105" s="11" t="n">
        <x:v>5.27</x:v>
      </x:c>
      <x:c r="K105" s="2" t="str">
        <x:v>2025 localizado</x:v>
      </x:c>
      <x:c r="L105" s="2" t="str"/>
      <x:c r="M105" s="2"/>
      <x:c r="N105" s="2" t="str">
        <x:v>https://es.marketscreener.com/cotizacion/accion/PROSEGUR-CASH-S-A-34308503/valoracion/</x:v>
      </x:c>
    </x:row>
    <x:row r="106" ht="32" customHeight="1">
      <x:c r="A106" s="8" t="str">
        <x:v>CLINICA BAVIERA, S.A.</x:v>
      </x:c>
      <x:c r="B106" s="8" t="str">
        <x:v>ES0119037010</x:v>
      </x:c>
      <x:c r="C106" s="8" t="str">
        <x:v>Servicios de Consumo</x:v>
      </x:c>
      <x:c r="D106" s="8" t="str">
        <x:v>Otros Servicios</x:v>
      </x:c>
      <x:c r="E106" s="8" t="str">
        <x:v>Diciembre</x:v>
      </x:c>
      <x:c r="F106" s="12" t="n">
        <x:v>46120</x:v>
      </x:c>
      <x:c r="G106" s="11" t="n">
        <x:v>18.9</x:v>
      </x:c>
      <x:c r="H106" s="11" t="n">
        <x:v>9.84</x:v>
      </x:c>
      <x:c r="I106" s="11" t="n">
        <x:v>2.67</x:v>
      </x:c>
      <x:c r="J106" s="11" t="n">
        <x:v>7.24</x:v>
      </x:c>
      <x:c r="K106" s="2" t="str">
        <x:v>2025 localizado</x:v>
      </x:c>
      <x:c r="L106" s="2" t="str"/>
      <x:c r="M106" s="2"/>
      <x:c r="N106" s="2" t="str">
        <x:v>https://es.marketscreener.com/cotizacion/accion/CL-NICA-BAVIERA-S-A-239423/valoracion/</x:v>
      </x:c>
    </x:row>
    <x:row r="107" ht="32" customHeight="1">
      <x:c r="A107" s="8" t="str">
        <x:v>PROSEGUR , CIA. DE SEGURIDAD, S.A.</x:v>
      </x:c>
      <x:c r="B107" s="8" t="str">
        <x:v>ES0175438003</x:v>
      </x:c>
      <x:c r="C107" s="8" t="str">
        <x:v>Servicios de Consumo</x:v>
      </x:c>
      <x:c r="D107" s="8" t="str">
        <x:v>Otros Servicios</x:v>
      </x:c>
      <x:c r="E107" s="8" t="str">
        <x:v>Diciembre</x:v>
      </x:c>
      <x:c r="F107" s="12" t="n">
        <x:v>46079</x:v>
      </x:c>
      <x:c r="G107" s="11" t="n">
        <x:v>11.6</x:v>
      </x:c>
      <x:c r="H107" s="11" t="n">
        <x:v>4.91</x:v>
      </x:c>
      <x:c r="I107" s="11" t="n">
        <x:v>0.56</x:v>
      </x:c>
      <x:c r="J107" s="11" t="n">
        <x:v>1.92</x:v>
      </x:c>
      <x:c r="K107" s="2" t="str">
        <x:v>2025 localizado</x:v>
      </x:c>
      <x:c r="L107" s="2" t="str"/>
      <x:c r="M107" s="2"/>
      <x:c r="N107" s="2" t="str">
        <x:v>https://es.marketscreener.com/cotizacion/accion/PROSEGUR-COMPA-A-DE-SEGUR-10944570/valoracion/</x:v>
      </x:c>
    </x:row>
    <x:row r="108" ht="32" customHeight="1">
      <x:c r="A108" s="8" t="str">
        <x:v>AENA, S.M.E., S.A.</x:v>
      </x:c>
      <x:c r="B108" s="8" t="str">
        <x:v>ES0105046017</x:v>
      </x:c>
      <x:c r="C108" s="8" t="str">
        <x:v>Servicios de Consumo</x:v>
      </x:c>
      <x:c r="D108" s="8" t="str">
        <x:v>Transporte y Distribución</x:v>
      </x:c>
      <x:c r="E108" s="8" t="str">
        <x:v>Diciembre</x:v>
      </x:c>
      <x:c r="F108" s="12" t="n">
        <x:v>46077</x:v>
      </x:c>
      <x:c r="G108" s="11" t="n">
        <x:v>16.8</x:v>
      </x:c>
      <x:c r="H108" s="11" t="n">
        <x:v>10.9</x:v>
      </x:c>
      <x:c r="I108" s="11" t="n">
        <x:v>6.57</x:v>
      </x:c>
      <x:c r="J108" s="11" t="n">
        <x:v>3.88</x:v>
      </x:c>
      <x:c r="K108" s="2" t="str">
        <x:v>2025 localizado</x:v>
      </x:c>
      <x:c r="L108" s="2" t="str"/>
      <x:c r="M108" s="2"/>
      <x:c r="N108" s="2" t="str">
        <x:v>https://es.marketscreener.com/cotizacion/accion/AENA-S-M-E-S-A-20798509/valoracion/</x:v>
      </x:c>
    </x:row>
    <x:row r="109" ht="32" customHeight="1">
      <x:c r="A109" s="8" t="str">
        <x:v>CIA. DE DIST. INTEG. LOGISTA HOLDINGS</x:v>
      </x:c>
      <x:c r="B109" s="8" t="str">
        <x:v>ES0105027009</x:v>
      </x:c>
      <x:c r="C109" s="8" t="str">
        <x:v>Servicios de Consumo</x:v>
      </x:c>
      <x:c r="D109" s="8" t="str">
        <x:v>Transporte y Distribución</x:v>
      </x:c>
      <x:c r="E109" s="8" t="str">
        <x:v>Septiembre</x:v>
      </x:c>
      <x:c r="F109" s="12" t="n">
        <x:v>45967</x:v>
      </x:c>
      <x:c r="G109" s="11" t="n">
        <x:v>13.6</x:v>
      </x:c>
      <x:c r="H109" s="11" t="n">
        <x:v>2.48</x:v>
      </x:c>
      <x:c r="I109" s="11" t="n">
        <x:v>0.68</x:v>
      </x:c>
      <x:c r="J109" s="11" t="n">
        <x:v>5.94</x:v>
      </x:c>
      <x:c r="K109" s="2" t="str">
        <x:v>2025 localizado</x:v>
      </x:c>
      <x:c r="L109" s="2" t="str">
        <x:v>Cierre fiscal Septiembre.</x:v>
      </x:c>
      <x:c r="M109" s="2"/>
      <x:c r="N109" s="2" t="str">
        <x:v>https://es.marketscreener.com/cotizacion/accion/LOGISTA-HOLDINGS-16860992/valoracion/</x:v>
      </x:c>
    </x:row>
    <x:row r="110" ht="32" customHeight="1">
      <x:c r="A110" s="8" t="str">
        <x:v>INTERNATIONAL CONSOLIDAT. AIRLINES GROUP</x:v>
      </x:c>
      <x:c r="B110" s="8" t="str">
        <x:v>ES0177542018</x:v>
      </x:c>
      <x:c r="C110" s="8" t="str">
        <x:v>Servicios de Consumo</x:v>
      </x:c>
      <x:c r="D110" s="8" t="str">
        <x:v>Transporte y Distribución</x:v>
      </x:c>
      <x:c r="E110" s="8" t="str">
        <x:v>Diciembre</x:v>
      </x:c>
      <x:c r="F110" s="12" t="n">
        <x:v>46080</x:v>
      </x:c>
      <x:c r="G110" s="11" t="n">
        <x:v>6.83</x:v>
      </x:c>
      <x:c r="H110" s="11" t="n">
        <x:v>3.61</x:v>
      </x:c>
      <x:c r="I110" s="11" t="n">
        <x:v>0.83</x:v>
      </x:c>
      <x:c r="J110" s="11" t="n">
        <x:v>3.06</x:v>
      </x:c>
      <x:c r="K110" s="2" t="str">
        <x:v>2025 localizado</x:v>
      </x:c>
      <x:c r="L110" s="2" t="str"/>
      <x:c r="M110" s="2"/>
      <x:c r="N110" s="2" t="str">
        <x:v>https://es.marketscreener.com/cotizacion/accion/INTERNATIONAL-CONSOLIDATE-7233512/valoracion/</x:v>
      </x:c>
    </x:row>
    <x:row r="111" ht="32" customHeight="1">
      <x:c r="A111" s="8" t="str">
        <x:v>AMADEUS IT GROUP, S.A.</x:v>
      </x:c>
      <x:c r="B111" s="8" t="str">
        <x:v>ES0109067019</x:v>
      </x:c>
      <x:c r="C111" s="8" t="str">
        <x:v>Tecnología y Telecomunicaciones</x:v>
      </x:c>
      <x:c r="D111" s="8" t="str">
        <x:v>Electrónica y Software</x:v>
      </x:c>
      <x:c r="E111" s="8" t="str">
        <x:v>Diciembre</x:v>
      </x:c>
      <x:c r="F111" s="12" t="n">
        <x:v>46079</x:v>
      </x:c>
      <x:c r="G111" s="11" t="n">
        <x:v>20.9</x:v>
      </x:c>
      <x:c r="H111" s="11" t="n">
        <x:v>11.8</x:v>
      </x:c>
      <x:c r="I111" s="11" t="n">
        <x:v>4.53</x:v>
      </x:c>
      <x:c r="J111" s="11" t="n">
        <x:v>5.58</x:v>
      </x:c>
      <x:c r="K111" s="2" t="str">
        <x:v>2025 localizado</x:v>
      </x:c>
      <x:c r="L111" s="2" t="str"/>
      <x:c r="M111" s="2"/>
      <x:c r="N111" s="2" t="str">
        <x:v>https://es.marketscreener.com/cotizacion/accion/AMADEUS-IT-GROUP-S-A-4027320/valoracion/</x:v>
      </x:c>
    </x:row>
    <x:row r="112" ht="32" customHeight="1">
      <x:c r="A112" s="8" t="str">
        <x:v>AMPER, S.A.</x:v>
      </x:c>
      <x:c r="B112" s="8" t="str">
        <x:v>ES0109260291</x:v>
      </x:c>
      <x:c r="C112" s="8" t="str">
        <x:v>Tecnología y Telecomunicaciones</x:v>
      </x:c>
      <x:c r="D112" s="8" t="str">
        <x:v>Electrónica y Software</x:v>
      </x:c>
      <x:c r="E112" s="8" t="str">
        <x:v>Diciembre</x:v>
      </x:c>
      <x:c r="F112" s="12" t="n">
        <x:v>46080</x:v>
      </x:c>
      <x:c r="G112" s="11" t="n">
        <x:v>169</x:v>
      </x:c>
      <x:c r="H112" s="11" t="n">
        <x:v>10.1</x:v>
      </x:c>
      <x:c r="I112" s="11" t="n">
        <x:v>1.66</x:v>
      </x:c>
      <x:c r="J112" s="11" t="str">
        <x:v>n.d.</x:v>
      </x:c>
      <x:c r="K112" s="2" t="str">
        <x:v>2025 localizado</x:v>
      </x:c>
      <x:c r="L112" s="2" t="str"/>
      <x:c r="M112" s="2"/>
      <x:c r="N112" s="2" t="str">
        <x:v>https://es.marketscreener.com/cotizacion/accion/AMPER-S-A-73999/valoracion/</x:v>
      </x:c>
    </x:row>
    <x:row r="113" ht="32" customHeight="1">
      <x:c r="A113" s="8" t="str">
        <x:v>INDRA SISTEMAS, S.A., SERIE A</x:v>
      </x:c>
      <x:c r="B113" s="8" t="str">
        <x:v>ES0118594417</x:v>
      </x:c>
      <x:c r="C113" s="8" t="str">
        <x:v>Tecnología y Telecomunicaciones</x:v>
      </x:c>
      <x:c r="D113" s="8" t="str">
        <x:v>Electrónica y Software</x:v>
      </x:c>
      <x:c r="E113" s="8" t="str">
        <x:v>Diciembre</x:v>
      </x:c>
      <x:c r="F113" s="12" t="n">
        <x:v>46077</x:v>
      </x:c>
      <x:c r="G113" s="11" t="n">
        <x:v>19.6</x:v>
      </x:c>
      <x:c r="H113" s="11" t="n">
        <x:v>14.3</x:v>
      </x:c>
      <x:c r="I113" s="11" t="n">
        <x:v>1.67</x:v>
      </x:c>
      <x:c r="J113" s="11" t="n">
        <x:v>4.92</x:v>
      </x:c>
      <x:c r="K113" s="2" t="str">
        <x:v>2025 localizado</x:v>
      </x:c>
      <x:c r="L113" s="2" t="str"/>
      <x:c r="M113" s="2"/>
      <x:c r="N113" s="2" t="str">
        <x:v>https://es.marketscreener.com/cotizacion/accion/INDRA-SISTEMAS-S-A-413470/valoracion/</x:v>
      </x:c>
    </x:row>
    <x:row r="114" ht="32" customHeight="1">
      <x:c r="A114" s="8" t="str">
        <x:v>CELLNEX TELECOM, S.A.</x:v>
      </x:c>
      <x:c r="B114" s="8" t="str">
        <x:v>ES0105066007</x:v>
      </x:c>
      <x:c r="C114" s="8" t="str">
        <x:v>Tecnología y Telecomunicaciones</x:v>
      </x:c>
      <x:c r="D114" s="8" t="str">
        <x:v>Telecomunicaciones y Otros</x:v>
      </x:c>
      <x:c r="E114" s="8" t="str">
        <x:v>Diciembre</x:v>
      </x:c>
      <x:c r="F114" s="12" t="n">
        <x:v>46079</x:v>
      </x:c>
      <x:c r="G114" s="11" t="n">
        <x:v>-51.8</x:v>
      </x:c>
      <x:c r="H114" s="11" t="n">
        <x:v>11.7</x:v>
      </x:c>
      <x:c r="I114" s="11" t="n">
        <x:v>8.79</x:v>
      </x:c>
      <x:c r="J114" s="11" t="n">
        <x:v>1.54</x:v>
      </x:c>
      <x:c r="K114" s="2" t="str">
        <x:v>2025 localizado</x:v>
      </x:c>
      <x:c r="L114" s="2" t="str">
        <x:v>Múltiplos no positivos excluidos de medianas.</x:v>
      </x:c>
      <x:c r="M114" s="2"/>
      <x:c r="N114" s="2" t="str">
        <x:v>https://es.marketscreener.com/cotizacion/accion/CELLNEX-TELECOM-S-A-22148947/valoracion/</x:v>
      </x:c>
    </x:row>
    <x:row r="115" ht="32" customHeight="1">
      <x:c r="A115" s="8" t="str">
        <x:v>DIGI SPAIN TELECOM, S.A.</x:v>
      </x:c>
      <x:c r="B115" s="8" t="str">
        <x:v>ES0106043005</x:v>
      </x:c>
      <x:c r="C115" s="8" t="str">
        <x:v>Tecnología y Telecomunicaciones</x:v>
      </x:c>
      <x:c r="D115" s="8" t="str">
        <x:v>Telecomunicaciones y Otros</x:v>
      </x:c>
      <x:c r="E115" s="8" t="str">
        <x:v>Diciembre</x:v>
      </x:c>
      <x:c r="F115" s="12" t="str">
        <x:v>n.d.</x:v>
      </x:c>
      <x:c r="G115" s="11" t="str">
        <x:v>n.d.</x:v>
      </x:c>
      <x:c r="H115" s="11" t="str">
        <x:v>n.d.</x:v>
      </x:c>
      <x:c r="I115" s="11" t="str">
        <x:v>n.d.</x:v>
      </x:c>
      <x:c r="J115" s="11" t="str">
        <x:v>n.d.</x:v>
      </x:c>
      <x:c r="K115" s="2" t="str">
        <x:v>Sin columna 2025</x:v>
      </x:c>
      <x:c r="L115" s="2" t="str"/>
      <x:c r="M115" s="2"/>
      <x:c r="N115" s="2" t="str">
        <x:v>https://es.marketscreener.com/cotizacion/accion/DIGI-SPAIN-TELECOM-S-A-212463582/valoracion/</x:v>
      </x:c>
    </x:row>
    <x:row r="116" ht="32" customHeight="1">
      <x:c r="A116" s="8" t="str">
        <x:v>GLOBAL DOMINION ACCESS, S.A.</x:v>
      </x:c>
      <x:c r="B116" s="8" t="str">
        <x:v>ES0105130001</x:v>
      </x:c>
      <x:c r="C116" s="8" t="str">
        <x:v>Tecnología y Telecomunicaciones</x:v>
      </x:c>
      <x:c r="D116" s="8" t="str">
        <x:v>Telecomunicaciones y Otros</x:v>
      </x:c>
      <x:c r="E116" s="8" t="str">
        <x:v>Diciembre</x:v>
      </x:c>
      <x:c r="F116" s="12" t="n">
        <x:v>46079</x:v>
      </x:c>
      <x:c r="G116" s="11" t="n">
        <x:v>30.1</x:v>
      </x:c>
      <x:c r="H116" s="11" t="n">
        <x:v>4.42</x:v>
      </x:c>
      <x:c r="I116" s="11" t="n">
        <x:v>0.61</x:v>
      </x:c>
      <x:c r="J116" s="11" t="n">
        <x:v>1.93</x:v>
      </x:c>
      <x:c r="K116" s="2" t="str">
        <x:v>2025 localizado</x:v>
      </x:c>
      <x:c r="L116" s="2" t="str"/>
      <x:c r="M116" s="2"/>
      <x:c r="N116" s="2" t="str">
        <x:v>https://es.marketscreener.com/cotizacion/accion/GLOBAL-DOMINION-ACCESS-S--27377774/valoracion/</x:v>
      </x:c>
    </x:row>
    <x:row r="117" ht="32" customHeight="1">
      <x:c r="A117" s="8" t="str">
        <x:v>GRUPO EZENTIS, S.A.</x:v>
      </x:c>
      <x:c r="B117" s="8" t="str">
        <x:v>ES0172708234</x:v>
      </x:c>
      <x:c r="C117" s="8" t="str">
        <x:v>Tecnología y Telecomunicaciones</x:v>
      </x:c>
      <x:c r="D117" s="8" t="str">
        <x:v>Telecomunicaciones y Otros</x:v>
      </x:c>
      <x:c r="E117" s="8" t="str">
        <x:v>Diciembre</x:v>
      </x:c>
      <x:c r="F117" s="12" t="n">
        <x:v>46075</x:v>
      </x:c>
      <x:c r="G117" s="11" t="n">
        <x:v>-15.6</x:v>
      </x:c>
      <x:c r="H117" s="11" t="n">
        <x:v>58</x:v>
      </x:c>
      <x:c r="I117" s="11" t="n">
        <x:v>1.47</x:v>
      </x:c>
      <x:c r="J117" s="11" t="n">
        <x:v>14.7</x:v>
      </x:c>
      <x:c r="K117" s="2" t="str">
        <x:v>2025 localizado</x:v>
      </x:c>
      <x:c r="L117" s="2" t="str">
        <x:v>Múltiplos no positivos excluidos de medianas.</x:v>
      </x:c>
      <x:c r="M117" s="2"/>
      <x:c r="N117" s="2" t="str">
        <x:v>https://es.marketscreener.com/cotizacion/accion/GRUPO-EZENTIS-S-A-15166565/valoracion/</x:v>
      </x:c>
    </x:row>
    <x:row r="118" ht="32" customHeight="1">
      <x:c r="A118" s="8" t="str">
        <x:v>IZERTIS</x:v>
      </x:c>
      <x:c r="B118" s="8" t="str">
        <x:v>ES0105449005</x:v>
      </x:c>
      <x:c r="C118" s="8" t="str">
        <x:v>Tecnología y Telecomunicaciones</x:v>
      </x:c>
      <x:c r="D118" s="8" t="str">
        <x:v>Telecomunicaciones y Otros</x:v>
      </x:c>
      <x:c r="E118" s="8" t="str">
        <x:v>Diciembre</x:v>
      </x:c>
      <x:c r="F118" s="12" t="n">
        <x:v>46106</x:v>
      </x:c>
      <x:c r="G118" s="11" t="n">
        <x:v>75</x:v>
      </x:c>
      <x:c r="H118" s="11" t="n">
        <x:v>16</x:v>
      </x:c>
      <x:c r="I118" s="11" t="n">
        <x:v>2.2</x:v>
      </x:c>
      <x:c r="J118" s="11" t="n">
        <x:v>3.23</x:v>
      </x:c>
      <x:c r="K118" s="2" t="str">
        <x:v>2025 localizado</x:v>
      </x:c>
      <x:c r="L118" s="2" t="str"/>
      <x:c r="M118" s="2"/>
      <x:c r="N118" s="2" t="str">
        <x:v>https://es.marketscreener.com/cotizacion/accion/IZERTIS-S-A-111615897/valoracion/</x:v>
      </x:c>
    </x:row>
    <x:row r="119" ht="32" customHeight="1">
      <x:c r="A119" s="8" t="str">
        <x:v>TELEFONICA, S.A.</x:v>
      </x:c>
      <x:c r="B119" s="8" t="str">
        <x:v>ES0178430E18</x:v>
      </x:c>
      <x:c r="C119" s="8" t="str">
        <x:v>Tecnología y Telecomunicaciones</x:v>
      </x:c>
      <x:c r="D119" s="8" t="str">
        <x:v>Telecomunicaciones y Otros</x:v>
      </x:c>
      <x:c r="E119" s="8" t="str">
        <x:v>Diciembre</x:v>
      </x:c>
      <x:c r="F119" s="12" t="n">
        <x:v>46077</x:v>
      </x:c>
      <x:c r="G119" s="11" t="n">
        <x:v>-4.31</x:v>
      </x:c>
      <x:c r="H119" s="11" t="n">
        <x:v>4.62</x:v>
      </x:c>
      <x:c r="I119" s="11" t="n">
        <x:v>1.57</x:v>
      </x:c>
      <x:c r="J119" s="11" t="n">
        <x:v>1.38</x:v>
      </x:c>
      <x:c r="K119" s="2" t="str">
        <x:v>2025 localizado</x:v>
      </x:c>
      <x:c r="L119" s="2" t="str">
        <x:v>Múltiplos no positivos excluidos de medianas.</x:v>
      </x:c>
      <x:c r="M119" s="2"/>
      <x:c r="N119" s="2" t="str">
        <x:v>https://es.marketscreener.com/cotizacion/accion/TELEF-NICA-S-A-68962/valoracion/</x:v>
      </x:c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</x:row>
  </x:sheetData>
  <x:conditionalFormatting sqref="G7:J119">
    <x:cfRule type="cellIs" dxfId="0" priority="1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3902b5880b4fbc"/>
  </x:tableParts>
</x:worksheet>
</file>